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126"/>
  <workbookPr codeName="ThisWorkbook"/>
  <mc:AlternateContent xmlns:mc="http://schemas.openxmlformats.org/markup-compatibility/2006">
    <mc:Choice Requires="x15">
      <x15ac:absPath xmlns:x15ac="http://schemas.microsoft.com/office/spreadsheetml/2010/11/ac" url="D:\BSmedley Profile\My Documents\Leila Gharani\Course Files\Regional Dashboard\15 - Advanced Pivot Table Techniques\"/>
    </mc:Choice>
  </mc:AlternateContent>
  <xr:revisionPtr revIDLastSave="0" documentId="10_ncr:100000_{E2CAEB61-02D4-43F4-97C3-8BD5DBE32671}" xr6:coauthVersionLast="31" xr6:coauthVersionMax="34" xr10:uidLastSave="{00000000-0000-0000-0000-000000000000}"/>
  <bookViews>
    <workbookView xWindow="0" yWindow="0" windowWidth="28800" windowHeight="12225" xr2:uid="{81F32B32-91A1-4570-89CC-B40AFC1EC515}"/>
  </bookViews>
  <sheets>
    <sheet name="Dashboard" sheetId="1" r:id="rId1"/>
    <sheet name="Data" sheetId="2" r:id="rId2"/>
    <sheet name="Calculation" sheetId="3" r:id="rId3"/>
    <sheet name="Final Image" sheetId="4" r:id="rId4"/>
  </sheets>
  <definedNames>
    <definedName name="Slicer_Division">#N/A</definedName>
    <definedName name="Slicer_Region">#N/A</definedName>
    <definedName name="TotalRev">Calculation!$L$5</definedName>
  </definedNames>
  <calcPr calcId="179021"/>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M5" i="3" l="1"/>
  <c r="B6" i="1" l="1"/>
  <c r="G6" i="3" l="1"/>
  <c r="G7" i="3"/>
  <c r="G8" i="3"/>
  <c r="G9" i="3"/>
  <c r="G5" i="3"/>
  <c r="L7" i="3" l="1"/>
  <c r="L6" i="3"/>
  <c r="L5" i="3"/>
  <c r="H7" i="3"/>
  <c r="H6" i="3"/>
  <c r="H9" i="3"/>
  <c r="H8" i="3"/>
  <c r="I5" i="3"/>
  <c r="I6" i="3"/>
  <c r="I7" i="3"/>
  <c r="I8" i="3"/>
  <c r="I9" i="3"/>
  <c r="H5" i="3"/>
</calcChain>
</file>

<file path=xl/sharedStrings.xml><?xml version="1.0" encoding="utf-8"?>
<sst xmlns="http://schemas.openxmlformats.org/spreadsheetml/2006/main" count="135" uniqueCount="29">
  <si>
    <t>Division</t>
  </si>
  <si>
    <t>Region</t>
  </si>
  <si>
    <t>Revenue</t>
  </si>
  <si>
    <t>North America</t>
  </si>
  <si>
    <t>South America</t>
  </si>
  <si>
    <t>Asia</t>
  </si>
  <si>
    <t>Europe</t>
  </si>
  <si>
    <t>Australia</t>
  </si>
  <si>
    <t>Year</t>
  </si>
  <si>
    <t>Current</t>
  </si>
  <si>
    <t>PY</t>
  </si>
  <si>
    <t>Selected Information</t>
  </si>
  <si>
    <t>Game</t>
  </si>
  <si>
    <t>Utility</t>
  </si>
  <si>
    <t>Productivity</t>
  </si>
  <si>
    <t>For Header Text</t>
  </si>
  <si>
    <t>Select Logo</t>
  </si>
  <si>
    <t>Data Table by Region for Chart</t>
  </si>
  <si>
    <t>Max</t>
  </si>
  <si>
    <t>Average</t>
  </si>
  <si>
    <t>Total Revenue for</t>
  </si>
  <si>
    <t>Min</t>
  </si>
  <si>
    <t>Revenue by Region - Pivot Table</t>
  </si>
  <si>
    <t xml:space="preserve">Revenue </t>
  </si>
  <si>
    <t>Total</t>
  </si>
  <si>
    <t xml:space="preserve"> </t>
  </si>
  <si>
    <t>Moved to main Dashboard</t>
  </si>
  <si>
    <t>For Chart - Div. Revenue by Region</t>
  </si>
  <si>
    <t>% ∆ 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</si>
</sst>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
    <numFmt numFmtId="165" formatCode="0.0%"/>
  </numFmts>
  <fonts count="7" x14ac:knownFonts="1">
    <font>
      <sz val="11"/>
      <color theme="1"/>
      <name val="Calibri"/>
      <family val="2"/>
      <scheme val="minor"/>
    </font>
    <font>
      <b/>
      <sz val="11"/>
      <color theme="1" tint="4.9989318521683403E-2"/>
      <name val="Calibri"/>
      <family val="2"/>
      <scheme val="minor"/>
    </font>
    <font>
      <b/>
      <sz val="11"/>
      <color theme="0"/>
      <name val="Calibri"/>
      <family val="2"/>
      <scheme val="minor"/>
    </font>
    <font>
      <b/>
      <sz val="11"/>
      <color theme="1"/>
      <name val="Calibri"/>
      <family val="2"/>
      <scheme val="minor"/>
    </font>
    <font>
      <sz val="14"/>
      <color theme="5"/>
      <name val="Calibri"/>
      <family val="2"/>
      <scheme val="minor"/>
    </font>
    <font>
      <sz val="12"/>
      <color theme="1"/>
      <name val="Calibri"/>
      <family val="2"/>
      <scheme val="minor"/>
    </font>
    <font>
      <sz val="8"/>
      <color theme="1"/>
      <name val="Calibri"/>
      <family val="2"/>
      <scheme val="minor"/>
    </font>
  </fonts>
  <fills count="5">
    <fill>
      <patternFill patternType="none"/>
    </fill>
    <fill>
      <patternFill patternType="gray125"/>
    </fill>
    <fill>
      <patternFill patternType="solid">
        <fgColor theme="1" tint="0.249977111117893"/>
        <bgColor indexed="64"/>
      </patternFill>
    </fill>
    <fill>
      <patternFill patternType="solid">
        <fgColor rgb="FF638EC6"/>
        <bgColor indexed="64"/>
      </patternFill>
    </fill>
    <fill>
      <patternFill patternType="solid">
        <fgColor theme="8" tint="0.39997558519241921"/>
        <bgColor indexed="64"/>
      </patternFill>
    </fill>
  </fills>
  <borders count="2">
    <border>
      <left/>
      <right/>
      <top/>
      <bottom/>
      <diagonal/>
    </border>
    <border>
      <left/>
      <right/>
      <top/>
      <bottom style="thin">
        <color indexed="64"/>
      </bottom>
      <diagonal/>
    </border>
  </borders>
  <cellStyleXfs count="1">
    <xf numFmtId="0" fontId="0" fillId="0" borderId="0"/>
  </cellStyleXfs>
  <cellXfs count="18">
    <xf numFmtId="0" fontId="0" fillId="0" borderId="0" xfId="0"/>
    <xf numFmtId="0" fontId="0" fillId="2" borderId="0" xfId="0" applyFill="1"/>
    <xf numFmtId="0" fontId="1" fillId="3" borderId="0" xfId="0" applyFont="1" applyFill="1"/>
    <xf numFmtId="0" fontId="0" fillId="3" borderId="0" xfId="0" applyFill="1"/>
    <xf numFmtId="0" fontId="2" fillId="4" borderId="0" xfId="0" applyFont="1" applyFill="1"/>
    <xf numFmtId="0" fontId="0" fillId="0" borderId="0" xfId="0" pivotButton="1"/>
    <xf numFmtId="3" fontId="0" fillId="0" borderId="0" xfId="0" applyNumberFormat="1"/>
    <xf numFmtId="0" fontId="3" fillId="0" borderId="1" xfId="0" applyFont="1" applyBorder="1"/>
    <xf numFmtId="0" fontId="4" fillId="2" borderId="0" xfId="0" applyFont="1" applyFill="1"/>
    <xf numFmtId="164" fontId="0" fillId="0" borderId="0" xfId="0" applyNumberFormat="1"/>
    <xf numFmtId="0" fontId="0" fillId="0" borderId="0" xfId="0" applyAlignment="1">
      <alignment horizontal="right"/>
    </xf>
    <xf numFmtId="3" fontId="5" fillId="0" borderId="0" xfId="0" applyNumberFormat="1" applyFont="1" applyAlignment="1">
      <alignment horizontal="right"/>
    </xf>
    <xf numFmtId="10" fontId="0" fillId="0" borderId="0" xfId="0" applyNumberFormat="1" applyAlignment="1">
      <alignment horizontal="right"/>
    </xf>
    <xf numFmtId="0" fontId="5" fillId="0" borderId="0" xfId="0" applyFont="1" applyAlignment="1">
      <alignment horizontal="left"/>
    </xf>
    <xf numFmtId="10" fontId="6" fillId="0" borderId="0" xfId="0" applyNumberFormat="1" applyFont="1" applyAlignment="1">
      <alignment horizontal="left"/>
    </xf>
    <xf numFmtId="165" fontId="0" fillId="0" borderId="0" xfId="0" applyNumberFormat="1" applyFont="1" applyAlignment="1">
      <alignment horizontal="right"/>
    </xf>
    <xf numFmtId="165" fontId="0" fillId="0" borderId="0" xfId="0" applyNumberFormat="1" applyAlignment="1">
      <alignment horizontal="right"/>
    </xf>
    <xf numFmtId="0" fontId="0" fillId="0" borderId="0" xfId="0" pivotButton="1" applyAlignment="1">
      <alignment horizontal="right"/>
    </xf>
  </cellXfs>
  <cellStyles count="1">
    <cellStyle name="Normal" xfId="0" builtinId="0"/>
  </cellStyles>
  <dxfs count="38">
    <dxf>
      <alignment horizontal="left"/>
    </dxf>
    <dxf>
      <alignment horizontal="left"/>
    </dxf>
    <dxf>
      <alignment horizontal="right"/>
    </dxf>
    <dxf>
      <font>
        <sz val="12"/>
      </font>
    </dxf>
    <dxf>
      <font>
        <sz val="12"/>
      </font>
    </dxf>
    <dxf>
      <font>
        <sz val="12"/>
      </font>
    </dxf>
    <dxf>
      <font>
        <sz val="12"/>
      </font>
    </dxf>
    <dxf>
      <font>
        <sz val="12"/>
      </font>
    </dxf>
    <dxf>
      <font>
        <sz val="12"/>
      </font>
    </dxf>
    <dxf>
      <font>
        <b/>
        <strike val="0"/>
        <outline val="0"/>
        <shadow val="0"/>
        <u val="none"/>
        <vertAlign val="baseline"/>
        <sz val="11"/>
        <color theme="0"/>
        <name val="Calibri"/>
        <family val="2"/>
        <scheme val="minor"/>
      </font>
      <fill>
        <patternFill patternType="solid">
          <fgColor indexed="64"/>
          <bgColor theme="8" tint="0.39997558519241921"/>
        </patternFill>
      </fill>
    </dxf>
    <dxf>
      <numFmt numFmtId="165" formatCode="0.0%"/>
    </dxf>
    <dxf>
      <alignment horizontal="left"/>
    </dxf>
    <dxf>
      <font>
        <sz val="8"/>
      </font>
    </dxf>
    <dxf>
      <numFmt numFmtId="14" formatCode="0.00%"/>
    </dxf>
    <dxf>
      <alignment horizontal="left"/>
    </dxf>
    <dxf>
      <alignment horizontal="left"/>
    </dxf>
    <dxf>
      <alignment horizontal="right"/>
    </dxf>
    <dxf>
      <font>
        <sz val="11"/>
      </font>
    </dxf>
    <dxf>
      <font>
        <sz val="12"/>
      </font>
    </dxf>
    <dxf>
      <font>
        <sz val="12"/>
      </font>
    </dxf>
    <dxf>
      <font>
        <sz val="12"/>
      </font>
    </dxf>
    <dxf>
      <font>
        <sz val="12"/>
      </font>
    </dxf>
    <dxf>
      <font>
        <sz val="12"/>
      </font>
    </dxf>
    <dxf>
      <font>
        <sz val="12"/>
      </font>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i val="0"/>
      </font>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
      <font>
        <color theme="5"/>
      </font>
      <border>
        <bottom style="thin">
          <color theme="4"/>
        </bottom>
        <vertical/>
        <horizontal/>
      </border>
    </dxf>
    <dxf>
      <font>
        <color theme="0"/>
      </font>
      <fill>
        <patternFill>
          <bgColor theme="1" tint="0.24994659260841701"/>
        </patternFill>
      </fill>
      <border diagonalUp="0" diagonalDown="0">
        <left/>
        <right/>
        <top/>
        <bottom/>
        <vertical/>
        <horizontal/>
      </border>
    </dxf>
  </dxfs>
  <tableStyles count="2" defaultTableStyle="TableStyleMedium2" defaultPivotStyle="PivotStyleLight16">
    <tableStyle name="Slicer Dashboard" pivot="0" table="0" count="10" xr9:uid="{0D27C14C-AE6D-4978-8B85-6122A4FDE877}">
      <tableStyleElement type="wholeTable" dxfId="37"/>
      <tableStyleElement type="headerRow" dxfId="36"/>
    </tableStyle>
    <tableStyle name="Slicer Pivot" table="0" count="12" xr9:uid="{9D0F4ACB-C151-419E-AE2B-5B311A3F3045}">
      <tableStyleElement type="headerRow" dxfId="35"/>
      <tableStyleElement type="totalRow" dxfId="34"/>
      <tableStyleElement type="firstColumn" dxfId="33"/>
      <tableStyleElement type="firstRowStripe" dxfId="32"/>
      <tableStyleElement type="firstColumnStripe" dxfId="31"/>
      <tableStyleElement type="firstSubtotalColumn" dxfId="30"/>
      <tableStyleElement type="firstSubtotalRow" dxfId="29"/>
      <tableStyleElement type="secondSubtotalRow" dxfId="28"/>
      <tableStyleElement type="firstRowSubheading" dxfId="27"/>
      <tableStyleElement type="secondRowSubheading" dxfId="26"/>
      <tableStyleElement type="pageFieldLabels" dxfId="25"/>
      <tableStyleElement type="pageFieldValues" dxfId="2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0.1499679555650502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Dashboard">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Calculation!$G$4</c:f>
              <c:strCache>
                <c:ptCount val="1"/>
                <c:pt idx="0">
                  <c:v>Revenue</c:v>
                </c:pt>
              </c:strCache>
            </c:strRef>
          </c:tx>
          <c:spPr>
            <a:solidFill>
              <a:schemeClr val="accent1"/>
            </a:solidFill>
            <a:ln>
              <a:noFill/>
            </a:ln>
            <a:effectLst/>
          </c:spPr>
          <c:invertIfNegative val="0"/>
          <c:dLbls>
            <c:spPr>
              <a:solidFill>
                <a:schemeClr val="tx1">
                  <a:lumMod val="75000"/>
                  <a:lumOff val="25000"/>
                </a:schemeClr>
              </a:solid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Calculation!$F$5:$F$9</c:f>
              <c:strCache>
                <c:ptCount val="5"/>
                <c:pt idx="0">
                  <c:v>North America</c:v>
                </c:pt>
                <c:pt idx="1">
                  <c:v>South America</c:v>
                </c:pt>
                <c:pt idx="2">
                  <c:v>Asia</c:v>
                </c:pt>
                <c:pt idx="3">
                  <c:v>Europe</c:v>
                </c:pt>
                <c:pt idx="4">
                  <c:v>Australia</c:v>
                </c:pt>
              </c:strCache>
            </c:strRef>
          </c:cat>
          <c:val>
            <c:numRef>
              <c:f>Calculation!$G$5:$G$9</c:f>
              <c:numCache>
                <c:formatCode>#,##0</c:formatCode>
                <c:ptCount val="5"/>
                <c:pt idx="0">
                  <c:v>44196</c:v>
                </c:pt>
                <c:pt idx="1">
                  <c:v>20898</c:v>
                </c:pt>
                <c:pt idx="2">
                  <c:v>46994</c:v>
                </c:pt>
                <c:pt idx="3">
                  <c:v>43695</c:v>
                </c:pt>
                <c:pt idx="4">
                  <c:v>34196</c:v>
                </c:pt>
              </c:numCache>
            </c:numRef>
          </c:val>
          <c:extLst>
            <c:ext xmlns:c16="http://schemas.microsoft.com/office/drawing/2014/chart" uri="{C3380CC4-5D6E-409C-BE32-E72D297353CC}">
              <c16:uniqueId val="{00000000-60CD-4447-8F9B-3699B6D36D8A}"/>
            </c:ext>
          </c:extLst>
        </c:ser>
        <c:ser>
          <c:idx val="1"/>
          <c:order val="1"/>
          <c:tx>
            <c:strRef>
              <c:f>Calculation!$H$4</c:f>
              <c:strCache>
                <c:ptCount val="1"/>
                <c:pt idx="0">
                  <c:v>Max</c:v>
                </c:pt>
              </c:strCache>
            </c:strRef>
          </c:tx>
          <c:spPr>
            <a:solidFill>
              <a:schemeClr val="accent2"/>
            </a:solidFill>
            <a:ln>
              <a:noFill/>
            </a:ln>
            <a:effectLst/>
          </c:spPr>
          <c:invertIfNegative val="0"/>
          <c:cat>
            <c:strRef>
              <c:f>Calculation!$F$5:$F$9</c:f>
              <c:strCache>
                <c:ptCount val="5"/>
                <c:pt idx="0">
                  <c:v>North America</c:v>
                </c:pt>
                <c:pt idx="1">
                  <c:v>South America</c:v>
                </c:pt>
                <c:pt idx="2">
                  <c:v>Asia</c:v>
                </c:pt>
                <c:pt idx="3">
                  <c:v>Europe</c:v>
                </c:pt>
                <c:pt idx="4">
                  <c:v>Australia</c:v>
                </c:pt>
              </c:strCache>
            </c:strRef>
          </c:cat>
          <c:val>
            <c:numRef>
              <c:f>Calculation!$H$5:$H$9</c:f>
              <c:numCache>
                <c:formatCode>#,##0</c:formatCode>
                <c:ptCount val="5"/>
                <c:pt idx="0">
                  <c:v>0</c:v>
                </c:pt>
                <c:pt idx="1">
                  <c:v>0</c:v>
                </c:pt>
                <c:pt idx="2">
                  <c:v>46994</c:v>
                </c:pt>
                <c:pt idx="3">
                  <c:v>0</c:v>
                </c:pt>
                <c:pt idx="4">
                  <c:v>0</c:v>
                </c:pt>
              </c:numCache>
            </c:numRef>
          </c:val>
          <c:extLst>
            <c:ext xmlns:c16="http://schemas.microsoft.com/office/drawing/2014/chart" uri="{C3380CC4-5D6E-409C-BE32-E72D297353CC}">
              <c16:uniqueId val="{00000001-60CD-4447-8F9B-3699B6D36D8A}"/>
            </c:ext>
          </c:extLst>
        </c:ser>
        <c:dLbls>
          <c:showLegendKey val="0"/>
          <c:showVal val="0"/>
          <c:showCatName val="0"/>
          <c:showSerName val="0"/>
          <c:showPercent val="0"/>
          <c:showBubbleSize val="0"/>
        </c:dLbls>
        <c:gapWidth val="100"/>
        <c:overlap val="100"/>
        <c:axId val="1244801519"/>
        <c:axId val="1251231215"/>
      </c:barChart>
      <c:lineChart>
        <c:grouping val="standard"/>
        <c:varyColors val="0"/>
        <c:ser>
          <c:idx val="2"/>
          <c:order val="2"/>
          <c:tx>
            <c:strRef>
              <c:f>Calculation!$I$4</c:f>
              <c:strCache>
                <c:ptCount val="1"/>
                <c:pt idx="0">
                  <c:v>Average</c:v>
                </c:pt>
              </c:strCache>
            </c:strRef>
          </c:tx>
          <c:spPr>
            <a:ln w="9525" cap="rnd">
              <a:solidFill>
                <a:schemeClr val="accent3"/>
              </a:solidFill>
              <a:prstDash val="lgDash"/>
              <a:round/>
            </a:ln>
            <a:effectLst/>
          </c:spPr>
          <c:marker>
            <c:symbol val="none"/>
          </c:marker>
          <c:cat>
            <c:strRef>
              <c:f>Calculation!$F$5:$F$9</c:f>
              <c:strCache>
                <c:ptCount val="5"/>
                <c:pt idx="0">
                  <c:v>North America</c:v>
                </c:pt>
                <c:pt idx="1">
                  <c:v>South America</c:v>
                </c:pt>
                <c:pt idx="2">
                  <c:v>Asia</c:v>
                </c:pt>
                <c:pt idx="3">
                  <c:v>Europe</c:v>
                </c:pt>
                <c:pt idx="4">
                  <c:v>Australia</c:v>
                </c:pt>
              </c:strCache>
            </c:strRef>
          </c:cat>
          <c:val>
            <c:numRef>
              <c:f>Calculation!$I$5:$I$9</c:f>
              <c:numCache>
                <c:formatCode>#,##0</c:formatCode>
                <c:ptCount val="5"/>
                <c:pt idx="0">
                  <c:v>37995.800000000003</c:v>
                </c:pt>
                <c:pt idx="1">
                  <c:v>37995.800000000003</c:v>
                </c:pt>
                <c:pt idx="2">
                  <c:v>37995.800000000003</c:v>
                </c:pt>
                <c:pt idx="3">
                  <c:v>37995.800000000003</c:v>
                </c:pt>
                <c:pt idx="4">
                  <c:v>37995.800000000003</c:v>
                </c:pt>
              </c:numCache>
            </c:numRef>
          </c:val>
          <c:smooth val="0"/>
          <c:extLst>
            <c:ext xmlns:c16="http://schemas.microsoft.com/office/drawing/2014/chart" uri="{C3380CC4-5D6E-409C-BE32-E72D297353CC}">
              <c16:uniqueId val="{00000002-60CD-4447-8F9B-3699B6D36D8A}"/>
            </c:ext>
          </c:extLst>
        </c:ser>
        <c:dLbls>
          <c:showLegendKey val="0"/>
          <c:showVal val="0"/>
          <c:showCatName val="0"/>
          <c:showSerName val="0"/>
          <c:showPercent val="0"/>
          <c:showBubbleSize val="0"/>
        </c:dLbls>
        <c:marker val="1"/>
        <c:smooth val="0"/>
        <c:axId val="1244801519"/>
        <c:axId val="1251231215"/>
      </c:lineChart>
      <c:catAx>
        <c:axId val="124480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251231215"/>
        <c:crosses val="autoZero"/>
        <c:auto val="1"/>
        <c:lblAlgn val="ctr"/>
        <c:lblOffset val="100"/>
        <c:noMultiLvlLbl val="0"/>
      </c:catAx>
      <c:valAx>
        <c:axId val="1251231215"/>
        <c:scaling>
          <c:orientation val="minMax"/>
        </c:scaling>
        <c:delete val="1"/>
        <c:axPos val="l"/>
        <c:numFmt formatCode="#,##0" sourceLinked="1"/>
        <c:majorTickMark val="none"/>
        <c:minorTickMark val="none"/>
        <c:tickLblPos val="nextTo"/>
        <c:crossAx val="12448015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[15.5 - VBA Code to Automatically Refresh Pivot Table.xlsx]Calculation!PivotTable1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Calculation!$L$16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Calculation!$K$17:$K$20</c:f>
              <c:strCache>
                <c:ptCount val="3"/>
                <c:pt idx="0">
                  <c:v>Game</c:v>
                </c:pt>
                <c:pt idx="1">
                  <c:v>Productivity</c:v>
                </c:pt>
                <c:pt idx="2">
                  <c:v>Utility</c:v>
                </c:pt>
              </c:strCache>
            </c:strRef>
          </c:cat>
          <c:val>
            <c:numRef>
              <c:f>Calculation!$L$17:$L$20</c:f>
              <c:numCache>
                <c:formatCode>#,##0</c:formatCode>
                <c:ptCount val="3"/>
                <c:pt idx="0">
                  <c:v>44675</c:v>
                </c:pt>
                <c:pt idx="1">
                  <c:v>34155</c:v>
                </c:pt>
                <c:pt idx="2">
                  <c:v>44196</c:v>
                </c:pt>
              </c:numCache>
            </c:numRef>
          </c:val>
          <c:extLst>
            <c:ext xmlns:c16="http://schemas.microsoft.com/office/drawing/2014/chart" uri="{C3380CC4-5D6E-409C-BE32-E72D297353CC}">
              <c16:uniqueId val="{00000000-25D9-4CE1-AD0E-FDFB1B4AD57F}"/>
            </c:ext>
          </c:extLst>
        </c:ser>
        <c:dLbls>
          <c:showLegendKey val="0"/>
          <c:showVal val="0"/>
          <c:showCatName val="0"/>
          <c:showSerName val="0"/>
          <c:showPercent val="0"/>
          <c:showBubbleSize val="0"/>
        </c:dLbls>
        <c:gapWidth val="50"/>
        <c:overlap val="-27"/>
        <c:axId val="2026645839"/>
        <c:axId val="1020402815"/>
      </c:barChart>
      <c:catAx>
        <c:axId val="2026645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1" i="0" u="none" strike="noStrike" kern="1200" baseline="0">
                <a:solidFill>
                  <a:schemeClr val="bg1"/>
                </a:solidFill>
                <a:latin typeface="+mn-lt"/>
                <a:ea typeface="+mn-ea"/>
                <a:cs typeface="+mn-cs"/>
              </a:defRPr>
            </a:pPr>
            <a:endParaRPr lang="en-US"/>
          </a:p>
        </c:txPr>
        <c:crossAx val="1020402815"/>
        <c:crosses val="autoZero"/>
        <c:auto val="1"/>
        <c:lblAlgn val="ctr"/>
        <c:lblOffset val="100"/>
        <c:noMultiLvlLbl val="0"/>
      </c:catAx>
      <c:valAx>
        <c:axId val="1020402815"/>
        <c:scaling>
          <c:orientation val="minMax"/>
        </c:scaling>
        <c:delete val="1"/>
        <c:axPos val="l"/>
        <c:numFmt formatCode="#,##0" sourceLinked="1"/>
        <c:majorTickMark val="none"/>
        <c:minorTickMark val="none"/>
        <c:tickLblPos val="nextTo"/>
        <c:crossAx val="2026645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414335</xdr:colOff>
      <xdr:row>0</xdr:row>
      <xdr:rowOff>63520</xdr:rowOff>
    </xdr:from>
    <xdr:to>
      <xdr:col>3</xdr:col>
      <xdr:colOff>457200</xdr:colOff>
      <xdr:row>3</xdr:row>
      <xdr:rowOff>22120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414335" y="63520"/>
          <a:ext cx="1985965" cy="9063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l"/>
          <a:r>
            <a:rPr lang="en-US" sz="3600" b="0" i="0" u="none" strike="noStrike">
              <a:solidFill>
                <a:schemeClr val="bg1"/>
              </a:solidFill>
              <a:latin typeface="Calibri"/>
              <a:ea typeface="+mn-ea"/>
              <a:cs typeface="Calibri"/>
            </a:rPr>
            <a:t>Revenue</a:t>
          </a:r>
        </a:p>
        <a:p>
          <a:pPr marL="0" indent="0" algn="l"/>
          <a:r>
            <a:rPr lang="en-US" sz="1600" b="0" i="0" u="none" strike="noStrike">
              <a:solidFill>
                <a:schemeClr val="bg1"/>
              </a:solidFill>
              <a:latin typeface="Calibri"/>
              <a:ea typeface="+mn-ea"/>
              <a:cs typeface="Calibri"/>
            </a:rPr>
            <a:t>by Division</a:t>
          </a:r>
        </a:p>
      </xdr:txBody>
    </xdr:sp>
    <xdr:clientData/>
  </xdr:twoCellAnchor>
  <xdr:twoCellAnchor>
    <xdr:from>
      <xdr:col>9</xdr:col>
      <xdr:colOff>257172</xdr:colOff>
      <xdr:row>0</xdr:row>
      <xdr:rowOff>63520</xdr:rowOff>
    </xdr:from>
    <xdr:to>
      <xdr:col>14</xdr:col>
      <xdr:colOff>309563</xdr:colOff>
      <xdr:row>1</xdr:row>
      <xdr:rowOff>133617</xdr:rowOff>
    </xdr:to>
    <xdr:sp macro="" textlink="">
      <xdr:nvSpPr>
        <xdr:cNvPr id="26" name="TextBox 25">
          <a:extLst>
            <a:ext uri="{FF2B5EF4-FFF2-40B4-BE49-F238E27FC236}">
              <a16:creationId xmlns:a16="http://schemas.microsoft.com/office/drawing/2014/main" id="{00000000-0008-0000-0000-00001A000000}"/>
            </a:ext>
          </a:extLst>
        </xdr:cNvPr>
        <xdr:cNvSpPr txBox="1"/>
      </xdr:nvSpPr>
      <xdr:spPr>
        <a:xfrm>
          <a:off x="6086472" y="63520"/>
          <a:ext cx="3290891"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l"/>
          <a:r>
            <a:rPr lang="en-US" sz="3600" b="0" i="0" u="none" strike="noStrike">
              <a:solidFill>
                <a:schemeClr val="bg1"/>
              </a:solidFill>
              <a:latin typeface="Calibri"/>
              <a:ea typeface="+mn-ea"/>
              <a:cs typeface="Calibri"/>
            </a:rPr>
            <a:t>Revenue</a:t>
          </a:r>
          <a:r>
            <a:rPr lang="en-US" sz="2800" b="0" i="0" u="none" strike="noStrike" baseline="0">
              <a:solidFill>
                <a:schemeClr val="bg1"/>
              </a:solidFill>
              <a:latin typeface="Calibri"/>
              <a:ea typeface="+mn-ea"/>
              <a:cs typeface="Calibri"/>
            </a:rPr>
            <a:t> </a:t>
          </a:r>
          <a:r>
            <a:rPr lang="en-US" sz="2000" b="0" i="0" u="none" strike="noStrike">
              <a:solidFill>
                <a:schemeClr val="bg1"/>
              </a:solidFill>
              <a:latin typeface="Calibri"/>
              <a:ea typeface="+mn-ea"/>
              <a:cs typeface="Calibri"/>
            </a:rPr>
            <a:t>by Region</a:t>
          </a:r>
          <a:endParaRPr lang="en-US" sz="1600" b="0" i="0" u="none" strike="noStrike">
            <a:solidFill>
              <a:schemeClr val="bg1"/>
            </a:solidFill>
            <a:latin typeface="Calibri"/>
            <a:ea typeface="+mn-ea"/>
            <a:cs typeface="Calibri"/>
          </a:endParaRPr>
        </a:p>
      </xdr:txBody>
    </xdr:sp>
    <xdr:clientData/>
  </xdr:twoCellAnchor>
  <xdr:twoCellAnchor editAs="oneCell">
    <xdr:from>
      <xdr:col>14</xdr:col>
      <xdr:colOff>266701</xdr:colOff>
      <xdr:row>0</xdr:row>
      <xdr:rowOff>0</xdr:rowOff>
    </xdr:from>
    <xdr:to>
      <xdr:col>17</xdr:col>
      <xdr:colOff>853641</xdr:colOff>
      <xdr:row>3</xdr:row>
      <xdr:rowOff>6185</xdr:rowOff>
    </xdr:to>
    <xdr:pic>
      <xdr:nvPicPr>
        <xdr:cNvPr id="40" name="Picture 39">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667751" y="0"/>
          <a:ext cx="1253691" cy="968210"/>
        </a:xfrm>
        <a:prstGeom prst="rect">
          <a:avLst/>
        </a:prstGeom>
      </xdr:spPr>
    </xdr:pic>
    <xdr:clientData/>
  </xdr:twoCellAnchor>
  <xdr:twoCellAnchor editAs="oneCell">
    <xdr:from>
      <xdr:col>4</xdr:col>
      <xdr:colOff>409575</xdr:colOff>
      <xdr:row>0</xdr:row>
      <xdr:rowOff>285751</xdr:rowOff>
    </xdr:from>
    <xdr:to>
      <xdr:col>7</xdr:col>
      <xdr:colOff>190500</xdr:colOff>
      <xdr:row>4</xdr:row>
      <xdr:rowOff>152401</xdr:rowOff>
    </xdr:to>
    <mc:AlternateContent xmlns:mc="http://schemas.openxmlformats.org/markup-compatibility/2006" xmlns:a14="http://schemas.microsoft.com/office/drawing/2010/main">
      <mc:Choice Requires="a14">
        <xdr:graphicFrame macro="">
          <xdr:nvGraphicFramePr>
            <xdr:cNvPr id="5" name="Division">
              <a:extLst>
                <a:ext uri="{FF2B5EF4-FFF2-40B4-BE49-F238E27FC236}">
                  <a16:creationId xmlns:a16="http://schemas.microsoft.com/office/drawing/2014/main" id="{A2460B62-1775-4EF7-AE86-E4E9BF3A5281}"/>
                </a:ext>
              </a:extLst>
            </xdr:cNvPr>
            <xdr:cNvGraphicFramePr/>
          </xdr:nvGraphicFramePr>
          <xdr:xfrm>
            <a:off x="0" y="0"/>
            <a:ext cx="0" cy="0"/>
          </xdr:xfrm>
          <a:graphic>
            <a:graphicData uri="http://schemas.microsoft.com/office/drawing/2010/slicer">
              <sle:slicer xmlns:sle="http://schemas.microsoft.com/office/drawing/2010/slicer" name="Division"/>
            </a:graphicData>
          </a:graphic>
        </xdr:graphicFrame>
      </mc:Choice>
      <mc:Fallback xmlns="">
        <xdr:sp macro="" textlink="">
          <xdr:nvSpPr>
            <xdr:cNvPr id="0" name=""/>
            <xdr:cNvSpPr>
              <a:spLocks noTextEdit="1"/>
            </xdr:cNvSpPr>
          </xdr:nvSpPr>
          <xdr:spPr>
            <a:xfrm>
              <a:off x="2809875" y="285750"/>
              <a:ext cx="1828800" cy="1266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466725</xdr:colOff>
      <xdr:row>6</xdr:row>
      <xdr:rowOff>42862</xdr:rowOff>
    </xdr:from>
    <xdr:to>
      <xdr:col>7</xdr:col>
      <xdr:colOff>542925</xdr:colOff>
      <xdr:row>17</xdr:row>
      <xdr:rowOff>161925</xdr:rowOff>
    </xdr:to>
    <xdr:graphicFrame macro="">
      <xdr:nvGraphicFramePr>
        <xdr:cNvPr id="6" name="Chart 5">
          <a:extLst>
            <a:ext uri="{FF2B5EF4-FFF2-40B4-BE49-F238E27FC236}">
              <a16:creationId xmlns:a16="http://schemas.microsoft.com/office/drawing/2014/main" id="{DA3E0635-13FA-4789-95F7-26CA962727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0</xdr:col>
      <xdr:colOff>457200</xdr:colOff>
      <xdr:row>19</xdr:row>
      <xdr:rowOff>0</xdr:rowOff>
    </xdr:from>
    <xdr:ext cx="1609725" cy="405432"/>
    <xdr:sp macro="" textlink="TotalRev">
      <xdr:nvSpPr>
        <xdr:cNvPr id="8" name="TextBox 7">
          <a:extLst>
            <a:ext uri="{FF2B5EF4-FFF2-40B4-BE49-F238E27FC236}">
              <a16:creationId xmlns:a16="http://schemas.microsoft.com/office/drawing/2014/main" id="{0F77EACA-BF87-4543-BCB0-02B463E69A1E}"/>
            </a:ext>
          </a:extLst>
        </xdr:cNvPr>
        <xdr:cNvSpPr txBox="1"/>
      </xdr:nvSpPr>
      <xdr:spPr>
        <a:xfrm>
          <a:off x="457200" y="3971925"/>
          <a:ext cx="160972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B417C98E-B574-4136-8BDB-1E3501910A49}" type="TxLink">
            <a:rPr lang="en-US" sz="2000" b="1" i="0" u="none" strike="noStrike">
              <a:solidFill>
                <a:schemeClr val="accent2"/>
              </a:solidFill>
              <a:latin typeface="Calibri"/>
              <a:cs typeface="Calibri"/>
            </a:rPr>
            <a:pPr/>
            <a:t>$ 189,979</a:t>
          </a:fld>
          <a:endParaRPr lang="en-US" sz="2800" b="1">
            <a:solidFill>
              <a:schemeClr val="accent2"/>
            </a:solidFill>
          </a:endParaRPr>
        </a:p>
      </xdr:txBody>
    </xdr:sp>
    <xdr:clientData/>
  </xdr:oneCellAnchor>
  <xdr:oneCellAnchor>
    <xdr:from>
      <xdr:col>2</xdr:col>
      <xdr:colOff>466724</xdr:colOff>
      <xdr:row>19</xdr:row>
      <xdr:rowOff>93936</xdr:rowOff>
    </xdr:from>
    <xdr:ext cx="2847975" cy="311496"/>
    <xdr:sp macro="" textlink="Calculation!M5">
      <xdr:nvSpPr>
        <xdr:cNvPr id="2" name="TextBox 1">
          <a:extLst>
            <a:ext uri="{FF2B5EF4-FFF2-40B4-BE49-F238E27FC236}">
              <a16:creationId xmlns:a16="http://schemas.microsoft.com/office/drawing/2014/main" id="{E3879306-E6B9-4C4E-BEDF-9236CB9ADD5A}"/>
            </a:ext>
          </a:extLst>
        </xdr:cNvPr>
        <xdr:cNvSpPr txBox="1"/>
      </xdr:nvSpPr>
      <xdr:spPr>
        <a:xfrm>
          <a:off x="1666874" y="4065861"/>
          <a:ext cx="284797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C2AE0257-1E6B-45F3-AF22-3F2DF6338BA7}" type="TxLink">
            <a:rPr lang="en-US" sz="1400" b="0" i="0" u="none" strike="noStrike">
              <a:solidFill>
                <a:schemeClr val="bg1"/>
              </a:solidFill>
              <a:latin typeface="Calibri"/>
              <a:cs typeface="Calibri"/>
            </a:rPr>
            <a:pPr/>
            <a:t>Utility Apps sold</a:t>
          </a:fld>
          <a:endParaRPr lang="en-US" sz="1400">
            <a:solidFill>
              <a:schemeClr val="bg1"/>
            </a:solidFill>
          </a:endParaRPr>
        </a:p>
      </xdr:txBody>
    </xdr:sp>
    <xdr:clientData/>
  </xdr:oneCellAnchor>
  <xdr:oneCellAnchor>
    <xdr:from>
      <xdr:col>0</xdr:col>
      <xdr:colOff>457200</xdr:colOff>
      <xdr:row>22</xdr:row>
      <xdr:rowOff>0</xdr:rowOff>
    </xdr:from>
    <xdr:ext cx="4581525" cy="311496"/>
    <xdr:sp macro="" textlink="Calculation!L6">
      <xdr:nvSpPr>
        <xdr:cNvPr id="10" name="TextBox 9">
          <a:extLst>
            <a:ext uri="{FF2B5EF4-FFF2-40B4-BE49-F238E27FC236}">
              <a16:creationId xmlns:a16="http://schemas.microsoft.com/office/drawing/2014/main" id="{4937211B-1217-45A3-BA2C-05D6F05BAA86}"/>
            </a:ext>
          </a:extLst>
        </xdr:cNvPr>
        <xdr:cNvSpPr txBox="1"/>
      </xdr:nvSpPr>
      <xdr:spPr>
        <a:xfrm>
          <a:off x="457200" y="4552950"/>
          <a:ext cx="458152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B543498D-1324-488E-A78A-897DCC170EA5}" type="TxLink">
            <a:rPr lang="en-US" sz="1400" b="0" i="0" u="none" strike="noStrike">
              <a:solidFill>
                <a:schemeClr val="bg1"/>
              </a:solidFill>
              <a:latin typeface="Calibri"/>
              <a:ea typeface="+mn-ea"/>
              <a:cs typeface="Calibri"/>
            </a:rPr>
            <a:pPr marL="0" indent="0"/>
            <a:t>Asia bought the most Utility apps</a:t>
          </a:fld>
          <a:endParaRPr lang="en-US" sz="1400" b="0" i="0" u="none" strike="noStrike">
            <a:solidFill>
              <a:schemeClr val="bg1"/>
            </a:solidFill>
            <a:latin typeface="Calibri"/>
            <a:ea typeface="+mn-ea"/>
            <a:cs typeface="Calibri"/>
          </a:endParaRPr>
        </a:p>
      </xdr:txBody>
    </xdr:sp>
    <xdr:clientData/>
  </xdr:oneCellAnchor>
  <xdr:oneCellAnchor>
    <xdr:from>
      <xdr:col>0</xdr:col>
      <xdr:colOff>457200</xdr:colOff>
      <xdr:row>24</xdr:row>
      <xdr:rowOff>19050</xdr:rowOff>
    </xdr:from>
    <xdr:ext cx="4714875" cy="311496"/>
    <xdr:sp macro="" textlink="Calculation!L7">
      <xdr:nvSpPr>
        <xdr:cNvPr id="11" name="TextBox 10">
          <a:extLst>
            <a:ext uri="{FF2B5EF4-FFF2-40B4-BE49-F238E27FC236}">
              <a16:creationId xmlns:a16="http://schemas.microsoft.com/office/drawing/2014/main" id="{CFA9E222-D057-4594-9E88-B69B91BEF041}"/>
            </a:ext>
          </a:extLst>
        </xdr:cNvPr>
        <xdr:cNvSpPr txBox="1"/>
      </xdr:nvSpPr>
      <xdr:spPr>
        <a:xfrm>
          <a:off x="457200" y="4972050"/>
          <a:ext cx="471487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A4ACE995-76A5-477D-81DB-58055E1FE713}" type="TxLink">
            <a:rPr lang="en-US" sz="1400" b="0" i="0" u="none" strike="noStrike">
              <a:solidFill>
                <a:schemeClr val="accent2">
                  <a:lumMod val="40000"/>
                  <a:lumOff val="60000"/>
                </a:schemeClr>
              </a:solidFill>
              <a:latin typeface="Calibri"/>
              <a:ea typeface="+mn-ea"/>
              <a:cs typeface="Calibri"/>
            </a:rPr>
            <a:pPr marL="0" indent="0"/>
            <a:t>South America bought the least Utility apps</a:t>
          </a:fld>
          <a:endParaRPr lang="en-US" sz="1400" b="0" i="0" u="none" strike="noStrike">
            <a:solidFill>
              <a:schemeClr val="accent2">
                <a:lumMod val="40000"/>
                <a:lumOff val="60000"/>
              </a:schemeClr>
            </a:solidFill>
            <a:latin typeface="Calibri"/>
            <a:ea typeface="+mn-ea"/>
            <a:cs typeface="Calibri"/>
          </a:endParaRPr>
        </a:p>
      </xdr:txBody>
    </xdr:sp>
    <xdr:clientData/>
  </xdr:oneCellAnchor>
  <xdr:twoCellAnchor editAs="oneCell">
    <xdr:from>
      <xdr:col>8</xdr:col>
      <xdr:colOff>533400</xdr:colOff>
      <xdr:row>2</xdr:row>
      <xdr:rowOff>142875</xdr:rowOff>
    </xdr:from>
    <xdr:to>
      <xdr:col>10</xdr:col>
      <xdr:colOff>333375</xdr:colOff>
      <xdr:row>12</xdr:row>
      <xdr:rowOff>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12490A91-489E-46DB-9D85-C670A5A072B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334000" y="914400"/>
              <a:ext cx="1285875" cy="1724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390525</xdr:colOff>
      <xdr:row>4</xdr:row>
      <xdr:rowOff>38100</xdr:rowOff>
    </xdr:from>
    <xdr:to>
      <xdr:col>17</xdr:col>
      <xdr:colOff>809625</xdr:colOff>
      <xdr:row>18</xdr:row>
      <xdr:rowOff>9525</xdr:rowOff>
    </xdr:to>
    <xdr:graphicFrame macro="">
      <xdr:nvGraphicFramePr>
        <xdr:cNvPr id="13" name="Chart 12">
          <a:extLst>
            <a:ext uri="{FF2B5EF4-FFF2-40B4-BE49-F238E27FC236}">
              <a16:creationId xmlns:a16="http://schemas.microsoft.com/office/drawing/2014/main" id="{10232818-95DE-491F-80AA-98F2A150E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157162</xdr:colOff>
      <xdr:row>34</xdr:row>
      <xdr:rowOff>104776</xdr:rowOff>
    </xdr:from>
    <xdr:to>
      <xdr:col>2</xdr:col>
      <xdr:colOff>58864</xdr:colOff>
      <xdr:row>38</xdr:row>
      <xdr:rowOff>149353</xdr:rowOff>
    </xdr:to>
    <xdr:pic>
      <xdr:nvPicPr>
        <xdr:cNvPr id="6" name="Picture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4425" y="6643689"/>
          <a:ext cx="758952" cy="758952"/>
        </a:xfrm>
        <a:prstGeom prst="rect">
          <a:avLst/>
        </a:prstGeom>
      </xdr:spPr>
    </xdr:pic>
    <xdr:clientData/>
  </xdr:twoCellAnchor>
  <xdr:twoCellAnchor editAs="absolute">
    <xdr:from>
      <xdr:col>1</xdr:col>
      <xdr:colOff>169049</xdr:colOff>
      <xdr:row>29</xdr:row>
      <xdr:rowOff>116664</xdr:rowOff>
    </xdr:from>
    <xdr:to>
      <xdr:col>2</xdr:col>
      <xdr:colOff>70751</xdr:colOff>
      <xdr:row>33</xdr:row>
      <xdr:rowOff>161241</xdr:rowOff>
    </xdr:to>
    <xdr:pic>
      <xdr:nvPicPr>
        <xdr:cNvPr id="11" name="Picture 10">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26312" y="5750702"/>
          <a:ext cx="758952" cy="758952"/>
        </a:xfrm>
        <a:prstGeom prst="rect">
          <a:avLst/>
        </a:prstGeom>
      </xdr:spPr>
    </xdr:pic>
    <xdr:clientData/>
  </xdr:twoCellAnchor>
  <xdr:twoCellAnchor editAs="absolute">
    <xdr:from>
      <xdr:col>1</xdr:col>
      <xdr:colOff>180975</xdr:colOff>
      <xdr:row>24</xdr:row>
      <xdr:rowOff>142876</xdr:rowOff>
    </xdr:from>
    <xdr:to>
      <xdr:col>2</xdr:col>
      <xdr:colOff>82677</xdr:colOff>
      <xdr:row>28</xdr:row>
      <xdr:rowOff>163046</xdr:rowOff>
    </xdr:to>
    <xdr:pic>
      <xdr:nvPicPr>
        <xdr:cNvPr id="13" name="Picture 12">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38238" y="4862514"/>
          <a:ext cx="758952" cy="74407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625077</xdr:colOff>
      <xdr:row>33</xdr:row>
      <xdr:rowOff>45681</xdr:rowOff>
    </xdr:to>
    <xdr:pic>
      <xdr:nvPicPr>
        <xdr:cNvPr id="3" name="Picture 2">
          <a:extLst>
            <a:ext uri="{FF2B5EF4-FFF2-40B4-BE49-F238E27FC236}">
              <a16:creationId xmlns:a16="http://schemas.microsoft.com/office/drawing/2014/main" id="{6F38089D-E82D-43A2-B2C1-EB9CB8418C1C}"/>
            </a:ext>
          </a:extLst>
        </xdr:cNvPr>
        <xdr:cNvPicPr>
          <a:picLocks noChangeAspect="1"/>
        </xdr:cNvPicPr>
      </xdr:nvPicPr>
      <xdr:blipFill rotWithShape="1">
        <a:blip xmlns:r="http://schemas.openxmlformats.org/officeDocument/2006/relationships" r:embed="rId1"/>
        <a:srcRect t="22481" r="22931" b="20129"/>
        <a:stretch/>
      </xdr:blipFill>
      <xdr:spPr>
        <a:xfrm>
          <a:off x="0" y="0"/>
          <a:ext cx="11656218" cy="593927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Smedley" refreshedDate="43344.401254861114" createdVersion="6" refreshedVersion="6" minRefreshableVersion="3" recordCount="30" xr:uid="{65F748FC-C8C0-4077-B43D-E16180C6D858}">
  <cacheSource type="worksheet">
    <worksheetSource name="RawData"/>
  </cacheSource>
  <cacheFields count="4">
    <cacheField name="Year" numFmtId="0">
      <sharedItems count="2">
        <s v="Current"/>
        <s v="PY"/>
      </sharedItems>
    </cacheField>
    <cacheField name="Division" numFmtId="0">
      <sharedItems count="3">
        <s v="Utility"/>
        <s v="Productivity"/>
        <s v="Game"/>
      </sharedItems>
    </cacheField>
    <cacheField name="Region" numFmtId="0">
      <sharedItems count="5">
        <s v="North America"/>
        <s v="South America"/>
        <s v="Asia"/>
        <s v="Europe"/>
        <s v="Australia"/>
      </sharedItems>
    </cacheField>
    <cacheField name="Revenue" numFmtId="0">
      <sharedItems containsSemiMixedTypes="0" containsString="0" containsNumber="1" containsInteger="1" minValue="11598" maxValue="6596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x v="0"/>
    <n v="44196"/>
  </r>
  <r>
    <x v="0"/>
    <x v="0"/>
    <x v="1"/>
    <n v="20898"/>
  </r>
  <r>
    <x v="0"/>
    <x v="0"/>
    <x v="2"/>
    <n v="46994"/>
  </r>
  <r>
    <x v="0"/>
    <x v="0"/>
    <x v="3"/>
    <n v="43695"/>
  </r>
  <r>
    <x v="0"/>
    <x v="0"/>
    <x v="4"/>
    <n v="34196"/>
  </r>
  <r>
    <x v="0"/>
    <x v="1"/>
    <x v="0"/>
    <n v="34155"/>
  </r>
  <r>
    <x v="0"/>
    <x v="1"/>
    <x v="1"/>
    <n v="24396"/>
  </r>
  <r>
    <x v="0"/>
    <x v="1"/>
    <x v="2"/>
    <n v="29276"/>
  </r>
  <r>
    <x v="0"/>
    <x v="1"/>
    <x v="3"/>
    <n v="45540"/>
  </r>
  <r>
    <x v="0"/>
    <x v="1"/>
    <x v="4"/>
    <n v="29277"/>
  </r>
  <r>
    <x v="0"/>
    <x v="2"/>
    <x v="0"/>
    <n v="44675"/>
  </r>
  <r>
    <x v="0"/>
    <x v="2"/>
    <x v="1"/>
    <n v="42569"/>
  </r>
  <r>
    <x v="0"/>
    <x v="2"/>
    <x v="2"/>
    <n v="43784"/>
  </r>
  <r>
    <x v="0"/>
    <x v="2"/>
    <x v="3"/>
    <n v="46336"/>
  </r>
  <r>
    <x v="0"/>
    <x v="2"/>
    <x v="4"/>
    <n v="49656"/>
  </r>
  <r>
    <x v="1"/>
    <x v="0"/>
    <x v="0"/>
    <n v="24325"/>
  </r>
  <r>
    <x v="1"/>
    <x v="0"/>
    <x v="1"/>
    <n v="33681"/>
  </r>
  <r>
    <x v="1"/>
    <x v="0"/>
    <x v="2"/>
    <n v="39295"/>
  </r>
  <r>
    <x v="1"/>
    <x v="0"/>
    <x v="3"/>
    <n v="59878"/>
  </r>
  <r>
    <x v="1"/>
    <x v="0"/>
    <x v="4"/>
    <n v="29938"/>
  </r>
  <r>
    <x v="1"/>
    <x v="1"/>
    <x v="0"/>
    <n v="52311"/>
  </r>
  <r>
    <x v="1"/>
    <x v="1"/>
    <x v="1"/>
    <n v="31955"/>
  </r>
  <r>
    <x v="1"/>
    <x v="1"/>
    <x v="2"/>
    <n v="31955"/>
  </r>
  <r>
    <x v="1"/>
    <x v="1"/>
    <x v="3"/>
    <n v="31955"/>
  </r>
  <r>
    <x v="1"/>
    <x v="1"/>
    <x v="4"/>
    <n v="11598"/>
  </r>
  <r>
    <x v="1"/>
    <x v="2"/>
    <x v="0"/>
    <n v="53963"/>
  </r>
  <r>
    <x v="1"/>
    <x v="2"/>
    <x v="1"/>
    <n v="65965"/>
  </r>
  <r>
    <x v="1"/>
    <x v="2"/>
    <x v="2"/>
    <n v="19989"/>
  </r>
  <r>
    <x v="1"/>
    <x v="2"/>
    <x v="3"/>
    <n v="39979"/>
  </r>
  <r>
    <x v="1"/>
    <x v="2"/>
    <x v="4"/>
    <n v="1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66BA3A-AD64-4805-8DFA-E0AD238031E7}" name="Pivot_Div" cacheId="0" applyNumberFormats="0" applyBorderFormats="0" applyFontFormats="0" applyPatternFormats="0" applyAlignmentFormats="0" applyWidthHeightFormats="1" dataCaption="Values" grandTotalCaption="Total" updatedVersion="6" minRefreshableVersion="3" colGrandTotals="0" itemPrintTitles="1" createdVersion="6" indent="0" showHeaders="0" compact="0" compactData="0" multipleFieldFilters="0">
  <location ref="J20:P25" firstHeaderRow="0" firstDataRow="2" firstDataCol="1"/>
  <pivotFields count="4">
    <pivotField axis="axisCol" compact="0" outline="0" showAll="0">
      <items count="3">
        <item x="0"/>
        <item x="1"/>
        <item t="default"/>
      </items>
    </pivotField>
    <pivotField axis="axisRow" compact="0" outline="0" showAll="0">
      <items count="4">
        <item x="2"/>
        <item x="1"/>
        <item x="0"/>
        <item t="default"/>
      </items>
    </pivotField>
    <pivotField compact="0" outline="0" showAll="0">
      <items count="6">
        <item h="1" x="2"/>
        <item h="1" x="4"/>
        <item h="1" x="3"/>
        <item x="0"/>
        <item h="1" x="1"/>
        <item t="default"/>
      </items>
    </pivotField>
    <pivotField dataField="1" compact="0" outline="0" showAll="0"/>
  </pivotFields>
  <rowFields count="1">
    <field x="1"/>
  </rowFields>
  <rowItems count="4">
    <i>
      <x/>
    </i>
    <i>
      <x v="1"/>
    </i>
    <i>
      <x v="2"/>
    </i>
    <i t="grand">
      <x/>
    </i>
  </rowItems>
  <colFields count="2">
    <field x="0"/>
    <field x="-2"/>
  </colFields>
  <colItems count="6">
    <i>
      <x/>
      <x/>
    </i>
    <i r="1" i="1">
      <x v="1"/>
    </i>
    <i r="1" i="2">
      <x v="2"/>
    </i>
    <i>
      <x v="1"/>
      <x/>
    </i>
    <i r="1" i="1">
      <x v="1"/>
    </i>
    <i r="1" i="2">
      <x v="2"/>
    </i>
  </colItems>
  <dataFields count="3">
    <dataField name="Revenue " fld="3" baseField="0" baseItem="0" numFmtId="3"/>
    <dataField name="% ∆ PY" fld="3" showDataAs="percentDiff" baseField="0" baseItem="1" numFmtId="165"/>
    <dataField name=" " fld="3" showDataAs="percentDiff" baseField="0" baseItem="1" numFmtId="10"/>
  </dataFields>
  <formats count="14">
    <format dxfId="23">
      <pivotArea outline="0" fieldPosition="0">
        <references count="3">
          <reference field="4294967294" count="2" selected="0">
            <x v="0"/>
            <x v="1"/>
          </reference>
          <reference field="0" count="1" selected="0">
            <x v="0"/>
          </reference>
          <reference field="1" count="0" selected="0"/>
        </references>
      </pivotArea>
    </format>
    <format dxfId="22">
      <pivotArea outline="0" fieldPosition="0">
        <references count="3">
          <reference field="4294967294" count="1" selected="0">
            <x v="0"/>
          </reference>
          <reference field="0" count="1" selected="0">
            <x v="1"/>
          </reference>
          <reference field="1" count="0" selected="0"/>
        </references>
      </pivotArea>
    </format>
    <format dxfId="21">
      <pivotArea dataOnly="0" labelOnly="1" outline="0" fieldPosition="0">
        <references count="1">
          <reference field="1" count="0"/>
        </references>
      </pivotArea>
    </format>
    <format dxfId="20">
      <pivotArea dataOnly="0" labelOnly="1" grandRow="1" outline="0" fieldPosition="0"/>
    </format>
    <format dxfId="19">
      <pivotArea field="0" grandRow="1" outline="0" axis="axisCol" fieldPosition="0">
        <references count="2">
          <reference field="4294967294" count="2" selected="0">
            <x v="0"/>
            <x v="1"/>
          </reference>
          <reference field="0" count="1" selected="0">
            <x v="0"/>
          </reference>
        </references>
      </pivotArea>
    </format>
    <format dxfId="18">
      <pivotArea field="0" grandRow="1" outline="0" axis="axisCol" fieldPosition="0">
        <references count="2">
          <reference field="4294967294" count="1" selected="0">
            <x v="0"/>
          </reference>
          <reference field="0" count="1" selected="0">
            <x v="1"/>
          </reference>
        </references>
      </pivotArea>
    </format>
    <format dxfId="17">
      <pivotArea outline="0" fieldPosition="0">
        <references count="2">
          <reference field="4294967294" count="1" selected="0">
            <x v="1"/>
          </reference>
          <reference field="0" count="1" selected="0">
            <x v="0"/>
          </reference>
        </references>
      </pivotArea>
    </format>
    <format dxfId="16">
      <pivotArea type="all" dataOnly="0" outline="0" fieldPosition="0"/>
    </format>
    <format dxfId="15">
      <pivotArea dataOnly="0" labelOnly="1" outline="0" fieldPosition="0">
        <references count="1">
          <reference field="1" count="0"/>
        </references>
      </pivotArea>
    </format>
    <format dxfId="14">
      <pivotArea dataOnly="0" labelOnly="1" grandRow="1" outline="0" fieldPosition="0"/>
    </format>
    <format dxfId="13">
      <pivotArea outline="0" fieldPosition="0">
        <references count="1">
          <reference field="4294967294" count="1">
            <x v="2"/>
          </reference>
        </references>
      </pivotArea>
    </format>
    <format dxfId="12">
      <pivotArea outline="0" fieldPosition="0">
        <references count="2">
          <reference field="4294967294" count="1" selected="0">
            <x v="2"/>
          </reference>
          <reference field="0" count="1" selected="0">
            <x v="0"/>
          </reference>
        </references>
      </pivotArea>
    </format>
    <format dxfId="11">
      <pivotArea outline="0" fieldPosition="0">
        <references count="2">
          <reference field="4294967294" count="1" selected="0">
            <x v="2"/>
          </reference>
          <reference field="0" count="1" selected="0">
            <x v="0"/>
          </reference>
        </references>
      </pivotArea>
    </format>
    <format dxfId="10">
      <pivotArea outline="0" fieldPosition="0">
        <references count="1">
          <reference field="4294967294" count="1">
            <x v="1"/>
          </reference>
        </references>
      </pivotArea>
    </format>
  </formats>
  <pivotTableStyleInfo name="Slicer Pivot"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1">
          <x14:conditionalFormat scope="data" priority="1" id="{C50A6E2A-4849-425B-B56B-F792D381BC4E}">
            <x14:pivotAreas count="1">
              <pivotArea outline="0" fieldPosition="0">
                <references count="1">
                  <reference field="4294967294" count="1" selected="0">
                    <x v="2"/>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2C0247-3B1A-49F8-98C6-7BB343F090F8}" name="PivotTable1" cacheId="0" applyNumberFormats="0" applyBorderFormats="0" applyFontFormats="0" applyPatternFormats="0" applyAlignmentFormats="0" applyWidthHeightFormats="1" dataCaption="Values" grandTotalCaption="Total" updatedVersion="6" minRefreshableVersion="3" colGrandTotals="0" itemPrintTitles="1" createdVersion="6" indent="0" showHeaders="0" compact="0" compactData="0" multipleFieldFilters="0" chartFormat="4">
  <location ref="K16:L20" firstHeaderRow="1" firstDataRow="1" firstDataCol="1" rowPageCount="1" colPageCount="1"/>
  <pivotFields count="4">
    <pivotField axis="axisPage" compact="0" outline="0" showAll="0">
      <items count="3">
        <item x="0"/>
        <item x="1"/>
        <item t="default"/>
      </items>
    </pivotField>
    <pivotField axis="axisRow" compact="0" outline="0" showAll="0">
      <items count="4">
        <item x="2"/>
        <item x="1"/>
        <item x="0"/>
        <item t="default"/>
      </items>
    </pivotField>
    <pivotField compact="0" outline="0" showAll="0">
      <items count="6">
        <item h="1" x="2"/>
        <item h="1" x="4"/>
        <item h="1" x="3"/>
        <item x="0"/>
        <item h="1" x="1"/>
        <item t="default"/>
      </items>
    </pivotField>
    <pivotField dataField="1" compact="0" outline="0" showAll="0"/>
  </pivotFields>
  <rowFields count="1">
    <field x="1"/>
  </rowFields>
  <rowItems count="4">
    <i>
      <x/>
    </i>
    <i>
      <x v="1"/>
    </i>
    <i>
      <x v="2"/>
    </i>
    <i t="grand">
      <x/>
    </i>
  </rowItems>
  <colItems count="1">
    <i/>
  </colItems>
  <pageFields count="1">
    <pageField fld="0" item="0" hier="-1"/>
  </pageFields>
  <dataFields count="1">
    <dataField name="Revenue " fld="3" baseField="0" baseItem="0" numFmtId="3"/>
  </dataFields>
  <formats count="9">
    <format dxfId="8">
      <pivotArea outline="0" fieldPosition="0">
        <references count="3">
          <reference field="4294967294" count="1" selected="0">
            <x v="0"/>
          </reference>
          <reference field="0" count="1" selected="0">
            <x v="0"/>
          </reference>
          <reference field="1" count="0" selected="0"/>
        </references>
      </pivotArea>
    </format>
    <format dxfId="7">
      <pivotArea outline="0" fieldPosition="0">
        <references count="3">
          <reference field="4294967294" count="1" selected="0">
            <x v="0"/>
          </reference>
          <reference field="0" count="1" selected="0">
            <x v="1"/>
          </reference>
          <reference field="1" count="0" selected="0"/>
        </references>
      </pivotArea>
    </format>
    <format dxfId="6">
      <pivotArea dataOnly="0" labelOnly="1" outline="0" fieldPosition="0">
        <references count="1">
          <reference field="1" count="0"/>
        </references>
      </pivotArea>
    </format>
    <format dxfId="5">
      <pivotArea dataOnly="0" labelOnly="1" grandRow="1" outline="0" fieldPosition="0"/>
    </format>
    <format dxfId="4">
      <pivotArea field="0" grandRow="1" outline="0" axis="axisPage" fieldPosition="0">
        <references count="2">
          <reference field="4294967294" count="1" selected="0">
            <x v="0"/>
          </reference>
          <reference field="0" count="1" selected="0">
            <x v="0"/>
          </reference>
        </references>
      </pivotArea>
    </format>
    <format dxfId="3">
      <pivotArea field="0" grandRow="1" outline="0" axis="axisPage" fieldPosition="0">
        <references count="2">
          <reference field="4294967294" count="1" selected="0">
            <x v="0"/>
          </reference>
          <reference field="0" count="1" selected="0">
            <x v="1"/>
          </reference>
        </references>
      </pivotArea>
    </format>
    <format dxfId="2">
      <pivotArea type="all" dataOnly="0" outline="0" fieldPosition="0"/>
    </format>
    <format dxfId="1">
      <pivotArea dataOnly="0" labelOnly="1" outline="0" fieldPosition="0">
        <references count="1">
          <reference field="1" count="0"/>
        </references>
      </pivotArea>
    </format>
    <format dxfId="0">
      <pivotArea dataOnly="0" labelOnly="1" grandRow="1" outline="0"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Slicer Pivot"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4624B1-A5CD-4BC5-9127-01D046CD5812}" name="Pivot_Region" cacheId="0" applyNumberFormats="0" applyBorderFormats="0" applyFontFormats="0" applyPatternFormats="0" applyAlignmentFormats="0" applyWidthHeightFormats="1" dataCaption="Values" updatedVersion="6" minRefreshableVersion="3" rowGrandTotals="0" colGrandTotals="0" itemPrintTitles="1" createdVersion="6" indent="0" compact="0" compactData="0" multipleFieldFilters="0">
  <location ref="A5:A6" firstHeaderRow="1" firstDataRow="1" firstDataCol="1"/>
  <pivotFields count="4">
    <pivotField compact="0" outline="0" showAll="0"/>
    <pivotField axis="axisRow" compact="0" outline="0" showAll="0">
      <items count="4">
        <item h="1" x="2"/>
        <item h="1" x="1"/>
        <item x="0"/>
        <item t="default"/>
      </items>
    </pivotField>
    <pivotField compact="0" outline="0" showAll="0"/>
    <pivotField compact="0" outline="0" showAll="0"/>
  </pivotFields>
  <rowFields count="1">
    <field x="1"/>
  </rowFields>
  <rowItems count="1">
    <i>
      <x v="2"/>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vision" xr10:uid="{B73DBEDE-EEE2-4331-88E6-DDCA77029B1A}" sourceName="Division">
  <pivotTables>
    <pivotTable tabId="3" name="Pivot_Region"/>
  </pivotTables>
  <data>
    <tabular pivotCacheId="1" sortOrder="descending" customListSort="0">
      <items count="3">
        <i x="0"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F54227E-9F00-4476-8054-F39E6BA1986A}" sourceName="Region">
  <pivotTables>
    <pivotTable tabId="1" name="Pivot_Div"/>
    <pivotTable tabId="3" name="PivotTable1"/>
  </pivotTables>
  <data>
    <tabular pivotCacheId="1">
      <items count="5">
        <i x="2"/>
        <i x="4"/>
        <i x="3"/>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vision" xr10:uid="{25520687-C757-41A2-BB6D-CDFE61E6DF0C}" cache="Slicer_Division" caption="Division" showCaption="0" style="Slicer Dashboard" rowHeight="241300"/>
  <slicer name="Region" xr10:uid="{EC507799-F9AB-405E-9E6D-716A01675FA7}" cache="Slicer_Region" caption="Region" style="Slicer Dashbo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awData" displayName="RawData" ref="A1:D31" totalsRowShown="0" headerRowDxfId="9">
  <autoFilter ref="A1:D31" xr:uid="{00000000-0009-0000-0100-000001000000}"/>
  <tableColumns count="4">
    <tableColumn id="1" xr3:uid="{00000000-0010-0000-0000-000001000000}" name="Year"/>
    <tableColumn id="2" xr3:uid="{00000000-0010-0000-0000-000002000000}" name="Division"/>
    <tableColumn id="3" xr3:uid="{00000000-0010-0000-0000-000003000000}" name="Region"/>
    <tableColumn id="4" xr3:uid="{00000000-0010-0000-0000-000004000000}" name="Revenue"/>
  </tableColumns>
  <tableStyleInfo showFirstColumn="0" showLastColumn="0" showRowStripes="1" showColumnStripes="0"/>
</table>
</file>

<file path=xl/theme/theme1.xml><?xml version="1.0" encoding="utf-8"?>
<a:theme xmlns:a="http://schemas.openxmlformats.org/drawingml/2006/main" name="Office Theme">
  <a:themeElements>
    <a:clrScheme name="Slicer Dashboard">
      <a:dk1>
        <a:sysClr val="windowText" lastClr="000000"/>
      </a:dk1>
      <a:lt1>
        <a:sysClr val="window" lastClr="FFFFFF"/>
      </a:lt1>
      <a:dk2>
        <a:srgbClr val="44546A"/>
      </a:dk2>
      <a:lt2>
        <a:srgbClr val="E7E6E6"/>
      </a:lt2>
      <a:accent1>
        <a:srgbClr val="BFBFBF"/>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30"/>
  <sheetViews>
    <sheetView tabSelected="1" workbookViewId="0"/>
  </sheetViews>
  <sheetFormatPr defaultColWidth="0" defaultRowHeight="15" zeroHeight="1" x14ac:dyDescent="0.25"/>
  <cols>
    <col min="1" max="9" width="9" customWidth="1"/>
    <col min="10" max="10" width="13.28515625" bestFit="1" customWidth="1"/>
    <col min="11" max="14" width="9" customWidth="1"/>
    <col min="15" max="16" width="9" hidden="1" customWidth="1"/>
    <col min="17" max="17" width="4.85546875" customWidth="1"/>
    <col min="18" max="18" width="12.85546875" customWidth="1"/>
    <col min="19" max="19" width="1.28515625" customWidth="1"/>
    <col min="20" max="16384" width="9" hidden="1"/>
  </cols>
  <sheetData>
    <row r="1" spans="1:19" ht="46.15" customHeight="1" x14ac:dyDescent="0.25">
      <c r="A1" s="1"/>
      <c r="B1" s="1"/>
      <c r="C1" s="1"/>
      <c r="D1" s="1"/>
      <c r="E1" s="1"/>
      <c r="F1" s="1"/>
      <c r="G1" s="1"/>
      <c r="H1" s="1"/>
      <c r="I1" s="1"/>
      <c r="J1" s="1"/>
      <c r="K1" s="1"/>
      <c r="L1" s="1"/>
      <c r="M1" s="1"/>
      <c r="N1" s="1"/>
      <c r="O1" s="1"/>
      <c r="P1" s="1"/>
      <c r="Q1" s="1"/>
      <c r="R1" s="1"/>
      <c r="S1" s="1"/>
    </row>
    <row r="2" spans="1:19" x14ac:dyDescent="0.25">
      <c r="A2" s="1"/>
      <c r="B2" s="1"/>
      <c r="C2" s="1"/>
      <c r="D2" s="1"/>
      <c r="E2" s="1"/>
      <c r="F2" s="1"/>
      <c r="G2" s="1"/>
      <c r="H2" s="1"/>
      <c r="I2" s="1"/>
      <c r="J2" s="1"/>
      <c r="K2" s="1"/>
      <c r="L2" s="1"/>
      <c r="M2" s="1"/>
      <c r="N2" s="1"/>
      <c r="O2" s="1"/>
      <c r="P2" s="1"/>
      <c r="Q2" s="1"/>
      <c r="R2" s="1"/>
      <c r="S2" s="1"/>
    </row>
    <row r="3" spans="1:19" x14ac:dyDescent="0.25">
      <c r="A3" s="1"/>
      <c r="B3" s="1"/>
      <c r="C3" s="1"/>
      <c r="D3" s="1"/>
      <c r="E3" s="1"/>
      <c r="F3" s="1"/>
      <c r="G3" s="1"/>
      <c r="H3" s="1"/>
      <c r="I3" s="1"/>
      <c r="J3" s="1"/>
      <c r="K3" s="1"/>
      <c r="L3" s="1"/>
      <c r="M3" s="1"/>
      <c r="N3" s="1"/>
      <c r="O3" s="1"/>
      <c r="P3" s="1"/>
      <c r="Q3" s="1"/>
      <c r="R3" s="1"/>
      <c r="S3" s="1"/>
    </row>
    <row r="4" spans="1:19" ht="8.25" customHeight="1" x14ac:dyDescent="0.25">
      <c r="A4" s="1"/>
      <c r="B4" s="1"/>
      <c r="C4" s="1"/>
      <c r="D4" s="1"/>
      <c r="E4" s="1"/>
      <c r="F4" s="1"/>
      <c r="G4" s="1"/>
      <c r="H4" s="1"/>
      <c r="I4" s="1"/>
      <c r="J4" s="1"/>
      <c r="K4" s="1"/>
      <c r="L4" s="1"/>
      <c r="M4" s="1"/>
      <c r="N4" s="1"/>
      <c r="O4" s="1"/>
      <c r="P4" s="1"/>
      <c r="Q4" s="1"/>
      <c r="R4" s="1"/>
      <c r="S4" s="1"/>
    </row>
    <row r="5" spans="1:19" x14ac:dyDescent="0.25">
      <c r="A5" s="1"/>
      <c r="B5" s="1"/>
      <c r="C5" s="1"/>
      <c r="D5" s="1"/>
      <c r="E5" s="1"/>
      <c r="F5" s="1"/>
      <c r="G5" s="1"/>
      <c r="H5" s="1"/>
      <c r="I5" s="1"/>
      <c r="J5" s="1"/>
      <c r="K5" s="1"/>
      <c r="L5" s="1"/>
      <c r="M5" s="1"/>
      <c r="N5" s="1"/>
      <c r="O5" s="1"/>
      <c r="P5" s="1"/>
      <c r="Q5" s="1"/>
      <c r="R5" s="1"/>
      <c r="S5" s="1"/>
    </row>
    <row r="6" spans="1:19" ht="18.75" x14ac:dyDescent="0.3">
      <c r="A6" s="1"/>
      <c r="B6" s="8" t="str">
        <f>IF(COUNTA(Calculation!A6:A8)&gt;1,"Please only select 1 Division!","")</f>
        <v/>
      </c>
      <c r="C6" s="1"/>
      <c r="D6" s="1"/>
      <c r="E6" s="1"/>
      <c r="F6" s="1"/>
      <c r="G6" s="1"/>
      <c r="H6" s="1"/>
      <c r="I6" s="1"/>
      <c r="J6" s="1"/>
      <c r="K6" s="1"/>
      <c r="L6" s="1"/>
      <c r="M6" s="1"/>
      <c r="N6" s="1"/>
      <c r="O6" s="1"/>
      <c r="P6" s="1"/>
      <c r="Q6" s="1"/>
      <c r="R6" s="1"/>
      <c r="S6" s="1"/>
    </row>
    <row r="7" spans="1:19" x14ac:dyDescent="0.25">
      <c r="A7" s="1"/>
      <c r="B7" s="1"/>
      <c r="C7" s="1"/>
      <c r="D7" s="1"/>
      <c r="E7" s="1"/>
      <c r="F7" s="1"/>
      <c r="G7" s="1"/>
      <c r="H7" s="1"/>
      <c r="I7" s="1"/>
      <c r="J7" s="1"/>
      <c r="K7" s="1"/>
      <c r="L7" s="1"/>
      <c r="M7" s="1"/>
      <c r="N7" s="1"/>
      <c r="O7" s="1"/>
      <c r="P7" s="1"/>
      <c r="Q7" s="1"/>
      <c r="R7" s="1"/>
      <c r="S7" s="1"/>
    </row>
    <row r="8" spans="1:19" x14ac:dyDescent="0.25">
      <c r="A8" s="1"/>
      <c r="B8" s="1"/>
      <c r="C8" s="1"/>
      <c r="D8" s="1"/>
      <c r="E8" s="1"/>
      <c r="F8" s="1"/>
      <c r="G8" s="1"/>
      <c r="H8" s="1"/>
      <c r="I8" s="1"/>
      <c r="J8" s="1"/>
      <c r="K8" s="1"/>
      <c r="L8" s="1"/>
      <c r="M8" s="1"/>
      <c r="N8" s="1"/>
      <c r="O8" s="1"/>
      <c r="P8" s="1"/>
      <c r="Q8" s="1"/>
      <c r="R8" s="1"/>
      <c r="S8" s="1"/>
    </row>
    <row r="9" spans="1:19" x14ac:dyDescent="0.25">
      <c r="A9" s="1"/>
      <c r="B9" s="1"/>
      <c r="C9" s="1"/>
      <c r="D9" s="1"/>
      <c r="E9" s="1"/>
      <c r="F9" s="1"/>
      <c r="G9" s="1"/>
      <c r="H9" s="1"/>
      <c r="I9" s="1"/>
      <c r="J9" s="1"/>
      <c r="K9" s="1"/>
      <c r="L9" s="1"/>
      <c r="M9" s="1"/>
      <c r="N9" s="1"/>
      <c r="O9" s="1"/>
      <c r="P9" s="1"/>
      <c r="Q9" s="1"/>
      <c r="R9" s="1"/>
      <c r="S9" s="1"/>
    </row>
    <row r="10" spans="1:19" x14ac:dyDescent="0.25">
      <c r="A10" s="1"/>
      <c r="B10" s="1"/>
      <c r="C10" s="1"/>
      <c r="D10" s="1"/>
      <c r="E10" s="1"/>
      <c r="F10" s="1"/>
      <c r="G10" s="1"/>
      <c r="H10" s="1"/>
      <c r="I10" s="1"/>
      <c r="J10" s="1"/>
      <c r="K10" s="1"/>
      <c r="L10" s="1"/>
      <c r="M10" s="1"/>
      <c r="N10" s="1"/>
      <c r="O10" s="1"/>
      <c r="P10" s="1"/>
      <c r="Q10" s="1"/>
      <c r="R10" s="1"/>
      <c r="S10" s="1"/>
    </row>
    <row r="11" spans="1:19" x14ac:dyDescent="0.25">
      <c r="A11" s="1"/>
      <c r="B11" s="1"/>
      <c r="C11" s="1"/>
      <c r="D11" s="1"/>
      <c r="E11" s="1"/>
      <c r="F11" s="1"/>
      <c r="G11" s="1"/>
      <c r="H11" s="1"/>
      <c r="I11" s="1"/>
      <c r="J11" s="1"/>
      <c r="K11" s="1"/>
      <c r="L11" s="1"/>
      <c r="M11" s="1"/>
      <c r="N11" s="1"/>
      <c r="O11" s="1"/>
      <c r="P11" s="1"/>
      <c r="Q11" s="1"/>
      <c r="R11" s="1"/>
      <c r="S11" s="1"/>
    </row>
    <row r="12" spans="1:19" x14ac:dyDescent="0.25">
      <c r="A12" s="1"/>
      <c r="B12" s="1"/>
      <c r="C12" s="1"/>
      <c r="D12" s="1"/>
      <c r="E12" s="1"/>
      <c r="F12" s="1"/>
      <c r="G12" s="1"/>
      <c r="H12" s="1"/>
      <c r="I12" s="1"/>
      <c r="J12" s="1"/>
      <c r="K12" s="1"/>
      <c r="L12" s="1"/>
      <c r="M12" s="1"/>
      <c r="N12" s="1"/>
      <c r="O12" s="1"/>
      <c r="P12" s="1"/>
      <c r="Q12" s="1"/>
      <c r="R12" s="1"/>
      <c r="S12" s="1"/>
    </row>
    <row r="13" spans="1:19" x14ac:dyDescent="0.25">
      <c r="A13" s="1"/>
      <c r="B13" s="1"/>
      <c r="C13" s="1"/>
      <c r="D13" s="1"/>
      <c r="E13" s="1"/>
      <c r="F13" s="1"/>
      <c r="G13" s="1"/>
      <c r="H13" s="1"/>
      <c r="I13" s="1"/>
      <c r="J13" s="1"/>
      <c r="K13" s="1"/>
      <c r="L13" s="1"/>
      <c r="M13" s="1"/>
      <c r="N13" s="1"/>
      <c r="O13" s="1"/>
      <c r="P13" s="1"/>
      <c r="Q13" s="1"/>
      <c r="R13" s="1"/>
      <c r="S13" s="1"/>
    </row>
    <row r="14" spans="1:19" x14ac:dyDescent="0.25">
      <c r="A14" s="1"/>
      <c r="B14" s="1"/>
      <c r="C14" s="1"/>
      <c r="D14" s="1"/>
      <c r="E14" s="1"/>
      <c r="F14" s="1"/>
      <c r="G14" s="1"/>
      <c r="H14" s="1"/>
      <c r="I14" s="1"/>
      <c r="J14" s="1"/>
      <c r="K14" s="1"/>
      <c r="L14" s="1"/>
      <c r="M14" s="1"/>
      <c r="N14" s="1"/>
      <c r="O14" s="1"/>
      <c r="P14" s="1"/>
      <c r="Q14" s="1"/>
      <c r="R14" s="1"/>
      <c r="S14" s="1"/>
    </row>
    <row r="15" spans="1:19" x14ac:dyDescent="0.25">
      <c r="A15" s="1"/>
      <c r="B15" s="1"/>
      <c r="C15" s="1"/>
      <c r="D15" s="1"/>
      <c r="E15" s="1"/>
      <c r="F15" s="1"/>
      <c r="G15" s="1"/>
      <c r="H15" s="1"/>
      <c r="I15" s="1"/>
      <c r="J15" s="1"/>
      <c r="K15" s="1"/>
      <c r="L15" s="1"/>
      <c r="M15" s="1"/>
      <c r="N15" s="1"/>
      <c r="O15" s="1"/>
      <c r="P15" s="1"/>
      <c r="Q15" s="1"/>
      <c r="R15" s="1"/>
      <c r="S15" s="1"/>
    </row>
    <row r="16" spans="1:19" x14ac:dyDescent="0.25">
      <c r="A16" s="1"/>
      <c r="B16" s="1"/>
      <c r="C16" s="1"/>
      <c r="D16" s="1"/>
      <c r="E16" s="1"/>
      <c r="F16" s="1"/>
      <c r="G16" s="1"/>
      <c r="H16" s="1"/>
      <c r="I16" s="1"/>
      <c r="J16" s="1"/>
      <c r="K16" s="1"/>
      <c r="L16" s="1"/>
      <c r="M16" s="1"/>
      <c r="N16" s="1"/>
      <c r="O16" s="1"/>
      <c r="P16" s="1"/>
      <c r="Q16" s="1"/>
      <c r="R16" s="1"/>
      <c r="S16" s="1"/>
    </row>
    <row r="17" spans="1:19" x14ac:dyDescent="0.25">
      <c r="A17" s="1"/>
      <c r="B17" s="1"/>
      <c r="C17" s="1"/>
      <c r="D17" s="1"/>
      <c r="E17" s="1"/>
      <c r="F17" s="1"/>
      <c r="G17" s="1"/>
      <c r="H17" s="1"/>
      <c r="I17" s="1"/>
      <c r="J17" s="1"/>
      <c r="K17" s="1"/>
      <c r="L17" s="1"/>
      <c r="M17" s="1"/>
      <c r="N17" s="1"/>
      <c r="O17" s="1"/>
      <c r="P17" s="1"/>
      <c r="Q17" s="1"/>
      <c r="R17" s="1"/>
      <c r="S17" s="1"/>
    </row>
    <row r="18" spans="1:19" x14ac:dyDescent="0.25">
      <c r="A18" s="1"/>
      <c r="B18" s="1"/>
      <c r="C18" s="1"/>
      <c r="D18" s="1"/>
      <c r="E18" s="1"/>
      <c r="F18" s="1"/>
      <c r="G18" s="1"/>
      <c r="H18" s="1"/>
      <c r="I18" s="1"/>
      <c r="J18" s="1"/>
      <c r="K18" s="1"/>
      <c r="L18" s="1"/>
      <c r="M18" s="1"/>
      <c r="N18" s="1"/>
      <c r="O18" s="1"/>
      <c r="P18" s="1"/>
      <c r="Q18" s="1"/>
      <c r="R18" s="1"/>
      <c r="S18" s="1"/>
    </row>
    <row r="19" spans="1:19" x14ac:dyDescent="0.25">
      <c r="A19" s="1"/>
      <c r="B19" s="1"/>
      <c r="C19" s="1"/>
      <c r="D19" s="1"/>
      <c r="E19" s="1"/>
      <c r="F19" s="1"/>
      <c r="G19" s="1"/>
      <c r="H19" s="1"/>
      <c r="I19" s="1"/>
      <c r="J19" s="1"/>
      <c r="K19" s="1"/>
      <c r="L19" s="1"/>
      <c r="M19" s="1"/>
      <c r="N19" s="1"/>
      <c r="O19" s="1"/>
      <c r="P19" s="1"/>
      <c r="Q19" s="1"/>
      <c r="R19" s="1"/>
      <c r="S19" s="1"/>
    </row>
    <row r="20" spans="1:19" x14ac:dyDescent="0.25">
      <c r="A20" s="1"/>
      <c r="B20" s="1"/>
      <c r="C20" s="1"/>
      <c r="D20" s="1"/>
      <c r="E20" s="1"/>
      <c r="F20" s="1"/>
      <c r="G20" s="1"/>
      <c r="H20" s="1"/>
      <c r="I20" s="1"/>
      <c r="J20" s="10"/>
      <c r="K20" s="10" t="s">
        <v>9</v>
      </c>
      <c r="L20" s="10"/>
      <c r="M20" s="10"/>
      <c r="N20" s="10" t="s">
        <v>10</v>
      </c>
      <c r="O20" s="10"/>
      <c r="P20" s="10"/>
      <c r="Q20" s="1"/>
      <c r="R20" s="1"/>
      <c r="S20" s="1"/>
    </row>
    <row r="21" spans="1:19" x14ac:dyDescent="0.25">
      <c r="A21" s="1"/>
      <c r="B21" s="1"/>
      <c r="C21" s="1"/>
      <c r="D21" s="1"/>
      <c r="E21" s="1"/>
      <c r="F21" s="1"/>
      <c r="G21" s="1"/>
      <c r="H21" s="1"/>
      <c r="I21" s="1"/>
      <c r="J21" s="10"/>
      <c r="K21" s="10" t="s">
        <v>23</v>
      </c>
      <c r="L21" s="10" t="s">
        <v>28</v>
      </c>
      <c r="M21" s="10" t="s">
        <v>25</v>
      </c>
      <c r="N21" s="10" t="s">
        <v>23</v>
      </c>
      <c r="O21" s="10" t="s">
        <v>28</v>
      </c>
      <c r="P21" s="10" t="s">
        <v>25</v>
      </c>
      <c r="Q21" s="1"/>
      <c r="R21" s="1"/>
      <c r="S21" s="1"/>
    </row>
    <row r="22" spans="1:19" ht="15.75" x14ac:dyDescent="0.25">
      <c r="A22" s="1"/>
      <c r="B22" s="1"/>
      <c r="C22" s="1"/>
      <c r="D22" s="1"/>
      <c r="E22" s="1"/>
      <c r="F22" s="1"/>
      <c r="G22" s="1"/>
      <c r="H22" s="1"/>
      <c r="I22" s="1"/>
      <c r="J22" s="13" t="s">
        <v>12</v>
      </c>
      <c r="K22" s="11">
        <v>44675</v>
      </c>
      <c r="L22" s="15">
        <v>-0.17211793265756167</v>
      </c>
      <c r="M22" s="14">
        <v>-0.17211793265756167</v>
      </c>
      <c r="N22" s="11">
        <v>53963</v>
      </c>
      <c r="O22" s="16"/>
      <c r="P22" s="12"/>
      <c r="Q22" s="1"/>
      <c r="R22" s="1"/>
      <c r="S22" s="1"/>
    </row>
    <row r="23" spans="1:19" ht="15.75" x14ac:dyDescent="0.25">
      <c r="A23" s="1"/>
      <c r="B23" s="1"/>
      <c r="C23" s="1"/>
      <c r="D23" s="1"/>
      <c r="E23" s="1"/>
      <c r="F23" s="1"/>
      <c r="G23" s="1"/>
      <c r="H23" s="1"/>
      <c r="I23" s="1"/>
      <c r="J23" s="13" t="s">
        <v>14</v>
      </c>
      <c r="K23" s="11">
        <v>34155</v>
      </c>
      <c r="L23" s="15">
        <v>-0.34707805241727363</v>
      </c>
      <c r="M23" s="14">
        <v>-0.34707805241727363</v>
      </c>
      <c r="N23" s="11">
        <v>52311</v>
      </c>
      <c r="O23" s="16"/>
      <c r="P23" s="12"/>
      <c r="Q23" s="1"/>
      <c r="R23" s="1"/>
      <c r="S23" s="1"/>
    </row>
    <row r="24" spans="1:19" ht="15.75" x14ac:dyDescent="0.25">
      <c r="A24" s="1"/>
      <c r="B24" s="1"/>
      <c r="C24" s="1"/>
      <c r="D24" s="1"/>
      <c r="E24" s="1"/>
      <c r="F24" s="1"/>
      <c r="G24" s="1"/>
      <c r="H24" s="1"/>
      <c r="I24" s="1"/>
      <c r="J24" s="13" t="s">
        <v>13</v>
      </c>
      <c r="K24" s="11">
        <v>44196</v>
      </c>
      <c r="L24" s="15">
        <v>0.81689619732785201</v>
      </c>
      <c r="M24" s="14">
        <v>0.81689619732785201</v>
      </c>
      <c r="N24" s="11">
        <v>24325</v>
      </c>
      <c r="O24" s="16"/>
      <c r="P24" s="12"/>
      <c r="Q24" s="1"/>
      <c r="R24" s="1"/>
      <c r="S24" s="1"/>
    </row>
    <row r="25" spans="1:19" ht="15.75" x14ac:dyDescent="0.25">
      <c r="A25" s="1"/>
      <c r="B25" s="1"/>
      <c r="C25" s="1"/>
      <c r="D25" s="1"/>
      <c r="E25" s="1"/>
      <c r="F25" s="1"/>
      <c r="G25" s="1"/>
      <c r="H25" s="1"/>
      <c r="I25" s="1"/>
      <c r="J25" s="13" t="s">
        <v>24</v>
      </c>
      <c r="K25" s="11">
        <v>123026</v>
      </c>
      <c r="L25" s="15">
        <v>-5.7986661459888664E-2</v>
      </c>
      <c r="M25" s="14">
        <v>-5.7986661459888664E-2</v>
      </c>
      <c r="N25" s="11">
        <v>130599</v>
      </c>
      <c r="O25" s="16"/>
      <c r="P25" s="12"/>
      <c r="Q25" s="1"/>
      <c r="R25" s="1"/>
      <c r="S25" s="1"/>
    </row>
    <row r="26" spans="1:19" x14ac:dyDescent="0.25">
      <c r="A26" s="1"/>
      <c r="B26" s="1"/>
      <c r="C26" s="1"/>
      <c r="D26" s="1"/>
      <c r="E26" s="1"/>
      <c r="F26" s="1"/>
      <c r="G26" s="1"/>
      <c r="H26" s="1"/>
      <c r="I26" s="1"/>
      <c r="J26" s="1"/>
      <c r="K26" s="1"/>
      <c r="L26" s="1"/>
      <c r="M26" s="1"/>
      <c r="N26" s="1"/>
      <c r="O26" s="1"/>
      <c r="P26" s="1"/>
      <c r="Q26" s="1"/>
      <c r="R26" s="1"/>
      <c r="S26" s="1"/>
    </row>
    <row r="27" spans="1:19" x14ac:dyDescent="0.25">
      <c r="A27" s="1"/>
      <c r="B27" s="1"/>
      <c r="C27" s="1"/>
      <c r="D27" s="1"/>
      <c r="E27" s="1"/>
      <c r="F27" s="1"/>
      <c r="G27" s="1"/>
      <c r="H27" s="1"/>
      <c r="I27" s="1"/>
      <c r="J27" s="1"/>
      <c r="K27" s="1"/>
      <c r="L27" s="1"/>
      <c r="M27" s="1"/>
      <c r="N27" s="1"/>
      <c r="O27" s="1"/>
      <c r="P27" s="1"/>
      <c r="Q27" s="1"/>
      <c r="R27" s="1"/>
      <c r="S27" s="1"/>
    </row>
    <row r="28" spans="1:19" x14ac:dyDescent="0.25">
      <c r="A28" s="1"/>
      <c r="B28" s="1"/>
      <c r="C28" s="1"/>
      <c r="D28" s="1"/>
      <c r="E28" s="1"/>
      <c r="F28" s="1"/>
      <c r="G28" s="1"/>
      <c r="H28" s="1"/>
      <c r="I28" s="1"/>
      <c r="J28" s="1"/>
      <c r="K28" s="1"/>
      <c r="L28" s="1"/>
      <c r="M28" s="1"/>
      <c r="N28" s="1"/>
      <c r="O28" s="1"/>
      <c r="P28" s="1"/>
      <c r="Q28" s="1"/>
      <c r="R28" s="1"/>
      <c r="S28" s="1"/>
    </row>
    <row r="29" spans="1:19" hidden="1" x14ac:dyDescent="0.25"/>
    <row r="30" spans="1:19" hidden="1" x14ac:dyDescent="0.25"/>
  </sheetData>
  <pageMargins left="0.7" right="0.7" top="0.75" bottom="0.75" header="0.3" footer="0.3"/>
  <pageSetup orientation="portrait" r:id="rId2"/>
  <drawing r:id="rId3"/>
  <extLst>
    <ext xmlns:x14="http://schemas.microsoft.com/office/spreadsheetml/2009/9/main" uri="{78C0D931-6437-407d-A8EE-F0AAD7539E65}">
      <x14:conditionalFormattings>
        <x14:conditionalFormatting xmlns:xm="http://schemas.microsoft.com/office/excel/2006/main" pivot="1">
          <x14:cfRule type="iconSet" priority="1" id="{C50A6E2A-4849-425B-B56B-F792D381BC4E}">
            <x14:iconSet iconSet="3Triangles" showValue="0" custom="1">
              <x14:cfvo type="percent">
                <xm:f>0</xm:f>
              </x14:cfvo>
              <x14:cfvo type="num">
                <xm:f>0</xm:f>
              </x14:cfvo>
              <x14:cfvo type="num">
                <xm:f>0</xm:f>
              </x14:cfvo>
              <x14:cfIcon iconSet="3Triangles" iconId="0"/>
              <x14:cfIcon iconSet="NoIcons" iconId="0"/>
              <x14:cfIcon iconSet="3Triangles" iconId="2"/>
            </x14:iconSet>
          </x14:cfRule>
          <xm:sqref>M22:M25 P22:P25</xm:sqref>
        </x14:conditionalFormatting>
      </x14:conditionalFormattings>
    </ex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31"/>
  <sheetViews>
    <sheetView workbookViewId="0">
      <selection activeCell="D2" sqref="D2"/>
    </sheetView>
  </sheetViews>
  <sheetFormatPr defaultRowHeight="15" x14ac:dyDescent="0.25"/>
  <cols>
    <col min="2" max="2" width="16" customWidth="1"/>
    <col min="3" max="3" width="12.28515625" bestFit="1" customWidth="1"/>
    <col min="4" max="4" width="9.7109375" customWidth="1"/>
  </cols>
  <sheetData>
    <row r="1" spans="1:4" x14ac:dyDescent="0.25">
      <c r="A1" s="4" t="s">
        <v>8</v>
      </c>
      <c r="B1" s="4" t="s">
        <v>0</v>
      </c>
      <c r="C1" s="4" t="s">
        <v>1</v>
      </c>
      <c r="D1" s="4" t="s">
        <v>2</v>
      </c>
    </row>
    <row r="2" spans="1:4" x14ac:dyDescent="0.25">
      <c r="A2" t="s">
        <v>9</v>
      </c>
      <c r="B2" t="s">
        <v>13</v>
      </c>
      <c r="C2" t="s">
        <v>3</v>
      </c>
      <c r="D2">
        <v>44196</v>
      </c>
    </row>
    <row r="3" spans="1:4" x14ac:dyDescent="0.25">
      <c r="A3" t="s">
        <v>9</v>
      </c>
      <c r="B3" t="s">
        <v>13</v>
      </c>
      <c r="C3" t="s">
        <v>4</v>
      </c>
      <c r="D3">
        <v>20898</v>
      </c>
    </row>
    <row r="4" spans="1:4" x14ac:dyDescent="0.25">
      <c r="A4" t="s">
        <v>9</v>
      </c>
      <c r="B4" t="s">
        <v>13</v>
      </c>
      <c r="C4" t="s">
        <v>5</v>
      </c>
      <c r="D4">
        <v>46994</v>
      </c>
    </row>
    <row r="5" spans="1:4" x14ac:dyDescent="0.25">
      <c r="A5" t="s">
        <v>9</v>
      </c>
      <c r="B5" t="s">
        <v>13</v>
      </c>
      <c r="C5" t="s">
        <v>6</v>
      </c>
      <c r="D5">
        <v>43695</v>
      </c>
    </row>
    <row r="6" spans="1:4" x14ac:dyDescent="0.25">
      <c r="A6" t="s">
        <v>9</v>
      </c>
      <c r="B6" t="s">
        <v>13</v>
      </c>
      <c r="C6" t="s">
        <v>7</v>
      </c>
      <c r="D6">
        <v>34196</v>
      </c>
    </row>
    <row r="7" spans="1:4" x14ac:dyDescent="0.25">
      <c r="A7" t="s">
        <v>9</v>
      </c>
      <c r="B7" t="s">
        <v>14</v>
      </c>
      <c r="C7" t="s">
        <v>3</v>
      </c>
      <c r="D7">
        <v>34155</v>
      </c>
    </row>
    <row r="8" spans="1:4" x14ac:dyDescent="0.25">
      <c r="A8" t="s">
        <v>9</v>
      </c>
      <c r="B8" t="s">
        <v>14</v>
      </c>
      <c r="C8" t="s">
        <v>4</v>
      </c>
      <c r="D8">
        <v>24396</v>
      </c>
    </row>
    <row r="9" spans="1:4" x14ac:dyDescent="0.25">
      <c r="A9" t="s">
        <v>9</v>
      </c>
      <c r="B9" t="s">
        <v>14</v>
      </c>
      <c r="C9" t="s">
        <v>5</v>
      </c>
      <c r="D9">
        <v>29276</v>
      </c>
    </row>
    <row r="10" spans="1:4" x14ac:dyDescent="0.25">
      <c r="A10" t="s">
        <v>9</v>
      </c>
      <c r="B10" t="s">
        <v>14</v>
      </c>
      <c r="C10" t="s">
        <v>6</v>
      </c>
      <c r="D10">
        <v>45540</v>
      </c>
    </row>
    <row r="11" spans="1:4" x14ac:dyDescent="0.25">
      <c r="A11" t="s">
        <v>9</v>
      </c>
      <c r="B11" t="s">
        <v>14</v>
      </c>
      <c r="C11" t="s">
        <v>7</v>
      </c>
      <c r="D11">
        <v>29277</v>
      </c>
    </row>
    <row r="12" spans="1:4" x14ac:dyDescent="0.25">
      <c r="A12" t="s">
        <v>9</v>
      </c>
      <c r="B12" t="s">
        <v>12</v>
      </c>
      <c r="C12" t="s">
        <v>3</v>
      </c>
      <c r="D12">
        <v>44675</v>
      </c>
    </row>
    <row r="13" spans="1:4" x14ac:dyDescent="0.25">
      <c r="A13" t="s">
        <v>9</v>
      </c>
      <c r="B13" t="s">
        <v>12</v>
      </c>
      <c r="C13" t="s">
        <v>4</v>
      </c>
      <c r="D13">
        <v>42569</v>
      </c>
    </row>
    <row r="14" spans="1:4" x14ac:dyDescent="0.25">
      <c r="A14" t="s">
        <v>9</v>
      </c>
      <c r="B14" t="s">
        <v>12</v>
      </c>
      <c r="C14" t="s">
        <v>5</v>
      </c>
      <c r="D14">
        <v>43784</v>
      </c>
    </row>
    <row r="15" spans="1:4" x14ac:dyDescent="0.25">
      <c r="A15" t="s">
        <v>9</v>
      </c>
      <c r="B15" t="s">
        <v>12</v>
      </c>
      <c r="C15" t="s">
        <v>6</v>
      </c>
      <c r="D15">
        <v>46336</v>
      </c>
    </row>
    <row r="16" spans="1:4" x14ac:dyDescent="0.25">
      <c r="A16" t="s">
        <v>9</v>
      </c>
      <c r="B16" t="s">
        <v>12</v>
      </c>
      <c r="C16" t="s">
        <v>7</v>
      </c>
      <c r="D16">
        <v>49656</v>
      </c>
    </row>
    <row r="17" spans="1:4" x14ac:dyDescent="0.25">
      <c r="A17" t="s">
        <v>10</v>
      </c>
      <c r="B17" t="s">
        <v>13</v>
      </c>
      <c r="C17" t="s">
        <v>3</v>
      </c>
      <c r="D17">
        <v>24325</v>
      </c>
    </row>
    <row r="18" spans="1:4" x14ac:dyDescent="0.25">
      <c r="A18" t="s">
        <v>10</v>
      </c>
      <c r="B18" t="s">
        <v>13</v>
      </c>
      <c r="C18" t="s">
        <v>4</v>
      </c>
      <c r="D18">
        <v>33681</v>
      </c>
    </row>
    <row r="19" spans="1:4" x14ac:dyDescent="0.25">
      <c r="A19" t="s">
        <v>10</v>
      </c>
      <c r="B19" t="s">
        <v>13</v>
      </c>
      <c r="C19" t="s">
        <v>5</v>
      </c>
      <c r="D19">
        <v>39295</v>
      </c>
    </row>
    <row r="20" spans="1:4" x14ac:dyDescent="0.25">
      <c r="A20" t="s">
        <v>10</v>
      </c>
      <c r="B20" t="s">
        <v>13</v>
      </c>
      <c r="C20" t="s">
        <v>6</v>
      </c>
      <c r="D20">
        <v>59878</v>
      </c>
    </row>
    <row r="21" spans="1:4" x14ac:dyDescent="0.25">
      <c r="A21" t="s">
        <v>10</v>
      </c>
      <c r="B21" t="s">
        <v>13</v>
      </c>
      <c r="C21" t="s">
        <v>7</v>
      </c>
      <c r="D21">
        <v>29938</v>
      </c>
    </row>
    <row r="22" spans="1:4" x14ac:dyDescent="0.25">
      <c r="A22" t="s">
        <v>10</v>
      </c>
      <c r="B22" t="s">
        <v>14</v>
      </c>
      <c r="C22" t="s">
        <v>3</v>
      </c>
      <c r="D22">
        <v>52311</v>
      </c>
    </row>
    <row r="23" spans="1:4" x14ac:dyDescent="0.25">
      <c r="A23" t="s">
        <v>10</v>
      </c>
      <c r="B23" t="s">
        <v>14</v>
      </c>
      <c r="C23" t="s">
        <v>4</v>
      </c>
      <c r="D23">
        <v>31955</v>
      </c>
    </row>
    <row r="24" spans="1:4" x14ac:dyDescent="0.25">
      <c r="A24" t="s">
        <v>10</v>
      </c>
      <c r="B24" t="s">
        <v>14</v>
      </c>
      <c r="C24" t="s">
        <v>5</v>
      </c>
      <c r="D24">
        <v>31955</v>
      </c>
    </row>
    <row r="25" spans="1:4" x14ac:dyDescent="0.25">
      <c r="A25" t="s">
        <v>10</v>
      </c>
      <c r="B25" t="s">
        <v>14</v>
      </c>
      <c r="C25" t="s">
        <v>6</v>
      </c>
      <c r="D25">
        <v>31955</v>
      </c>
    </row>
    <row r="26" spans="1:4" x14ac:dyDescent="0.25">
      <c r="A26" t="s">
        <v>10</v>
      </c>
      <c r="B26" t="s">
        <v>14</v>
      </c>
      <c r="C26" t="s">
        <v>7</v>
      </c>
      <c r="D26">
        <v>11598</v>
      </c>
    </row>
    <row r="27" spans="1:4" x14ac:dyDescent="0.25">
      <c r="A27" t="s">
        <v>10</v>
      </c>
      <c r="B27" t="s">
        <v>12</v>
      </c>
      <c r="C27" t="s">
        <v>3</v>
      </c>
      <c r="D27">
        <v>53963</v>
      </c>
    </row>
    <row r="28" spans="1:4" x14ac:dyDescent="0.25">
      <c r="A28" t="s">
        <v>10</v>
      </c>
      <c r="B28" t="s">
        <v>12</v>
      </c>
      <c r="C28" t="s">
        <v>4</v>
      </c>
      <c r="D28">
        <v>65965</v>
      </c>
    </row>
    <row r="29" spans="1:4" x14ac:dyDescent="0.25">
      <c r="A29" t="s">
        <v>10</v>
      </c>
      <c r="B29" t="s">
        <v>12</v>
      </c>
      <c r="C29" t="s">
        <v>5</v>
      </c>
      <c r="D29">
        <v>19989</v>
      </c>
    </row>
    <row r="30" spans="1:4" x14ac:dyDescent="0.25">
      <c r="A30" t="s">
        <v>10</v>
      </c>
      <c r="B30" t="s">
        <v>12</v>
      </c>
      <c r="C30" t="s">
        <v>6</v>
      </c>
      <c r="D30">
        <v>39979</v>
      </c>
    </row>
    <row r="31" spans="1:4" x14ac:dyDescent="0.25">
      <c r="A31" t="s">
        <v>10</v>
      </c>
      <c r="B31" t="s">
        <v>12</v>
      </c>
      <c r="C31" t="s">
        <v>7</v>
      </c>
      <c r="D31">
        <v>19998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2:N24"/>
  <sheetViews>
    <sheetView workbookViewId="0">
      <selection activeCell="A6" sqref="A6"/>
    </sheetView>
  </sheetViews>
  <sheetFormatPr defaultRowHeight="15" x14ac:dyDescent="0.25"/>
  <cols>
    <col min="1" max="1" width="13.28515625" customWidth="1"/>
    <col min="2" max="2" width="12.85546875" customWidth="1"/>
    <col min="3" max="3" width="14" customWidth="1"/>
    <col min="4" max="4" width="5.140625" customWidth="1"/>
    <col min="5" max="5" width="16.5703125" bestFit="1" customWidth="1"/>
    <col min="6" max="6" width="14" customWidth="1"/>
    <col min="7" max="7" width="10.140625" bestFit="1" customWidth="1"/>
    <col min="11" max="11" width="16.85546875" bestFit="1" customWidth="1"/>
    <col min="12" max="12" width="14" bestFit="1" customWidth="1"/>
  </cols>
  <sheetData>
    <row r="2" spans="1:14" x14ac:dyDescent="0.25">
      <c r="A2" s="2" t="s">
        <v>11</v>
      </c>
      <c r="B2" s="3"/>
      <c r="C2" s="3"/>
      <c r="D2" s="3"/>
      <c r="F2" s="2" t="s">
        <v>17</v>
      </c>
      <c r="G2" s="3"/>
      <c r="H2" s="3"/>
      <c r="I2" s="3"/>
      <c r="K2" s="2" t="s">
        <v>15</v>
      </c>
      <c r="L2" s="3"/>
      <c r="M2" s="3"/>
      <c r="N2" s="3"/>
    </row>
    <row r="4" spans="1:14" x14ac:dyDescent="0.25">
      <c r="G4" s="7" t="s">
        <v>2</v>
      </c>
      <c r="H4" s="7" t="s">
        <v>18</v>
      </c>
      <c r="I4" s="7" t="s">
        <v>19</v>
      </c>
    </row>
    <row r="5" spans="1:14" x14ac:dyDescent="0.25">
      <c r="A5" s="5" t="s">
        <v>0</v>
      </c>
      <c r="B5" t="s">
        <v>8</v>
      </c>
      <c r="F5" t="s">
        <v>3</v>
      </c>
      <c r="G5" s="6">
        <f>SUMIFS(RawData[Revenue],RawData[Year],$B$6,RawData[Division],$A$6,RawData[Region],$F5)</f>
        <v>44196</v>
      </c>
      <c r="H5" s="6" t="str">
        <f>IF(G5=MAX($G$5:$G$9),G5,"")</f>
        <v/>
      </c>
      <c r="I5" s="6">
        <f t="shared" ref="I5:I9" si="0">AVERAGE($G$5:$G$9)</f>
        <v>37995.800000000003</v>
      </c>
      <c r="K5" t="s">
        <v>20</v>
      </c>
      <c r="L5" s="9">
        <f>SUM(G5:G9)</f>
        <v>189979</v>
      </c>
      <c r="M5" t="str">
        <f>A6&amp;" Apps sold"</f>
        <v>Utility Apps sold</v>
      </c>
    </row>
    <row r="6" spans="1:14" x14ac:dyDescent="0.25">
      <c r="A6" t="s">
        <v>13</v>
      </c>
      <c r="B6" t="s">
        <v>9</v>
      </c>
      <c r="F6" t="s">
        <v>4</v>
      </c>
      <c r="G6" s="6">
        <f>SUMIFS(RawData[Revenue],RawData[Year],$B$6,RawData[Division],$A$6,RawData[Region],$F6)</f>
        <v>20898</v>
      </c>
      <c r="H6" s="6" t="str">
        <f t="shared" ref="H6:H9" si="1">IF(G6=MAX($G$5:$G$9),G6,"")</f>
        <v/>
      </c>
      <c r="I6" s="6">
        <f t="shared" si="0"/>
        <v>37995.800000000003</v>
      </c>
      <c r="K6" t="s">
        <v>18</v>
      </c>
      <c r="L6" t="str">
        <f>INDEX(F5:F9,MATCH(MAX(G5:G9),G5:G9,0))&amp;" bought the most "&amp;A6&amp;" apps"</f>
        <v>Asia bought the most Utility apps</v>
      </c>
    </row>
    <row r="7" spans="1:14" x14ac:dyDescent="0.25">
      <c r="F7" t="s">
        <v>5</v>
      </c>
      <c r="G7" s="6">
        <f>SUMIFS(RawData[Revenue],RawData[Year],$B$6,RawData[Division],$A$6,RawData[Region],$F7)</f>
        <v>46994</v>
      </c>
      <c r="H7" s="6">
        <f t="shared" si="1"/>
        <v>46994</v>
      </c>
      <c r="I7" s="6">
        <f t="shared" si="0"/>
        <v>37995.800000000003</v>
      </c>
      <c r="K7" t="s">
        <v>21</v>
      </c>
      <c r="L7" t="str">
        <f>INDEX(F5:F9,MATCH(MIN(G5:G9),G5:G9,0))&amp;" bought the least "&amp;A6&amp;" apps"</f>
        <v>South America bought the least Utility apps</v>
      </c>
    </row>
    <row r="8" spans="1:14" x14ac:dyDescent="0.25">
      <c r="F8" t="s">
        <v>6</v>
      </c>
      <c r="G8" s="6">
        <f>SUMIFS(RawData[Revenue],RawData[Year],$B$6,RawData[Division],$A$6,RawData[Region],$F8)</f>
        <v>43695</v>
      </c>
      <c r="H8" s="6" t="str">
        <f t="shared" si="1"/>
        <v/>
      </c>
      <c r="I8" s="6">
        <f t="shared" si="0"/>
        <v>37995.800000000003</v>
      </c>
    </row>
    <row r="9" spans="1:14" x14ac:dyDescent="0.25">
      <c r="F9" t="s">
        <v>7</v>
      </c>
      <c r="G9" s="6">
        <f>SUMIFS(RawData[Revenue],RawData[Year],$B$6,RawData[Division],$A$6,RawData[Region],$F9)</f>
        <v>34196</v>
      </c>
      <c r="H9" s="6" t="str">
        <f t="shared" si="1"/>
        <v/>
      </c>
      <c r="I9" s="6">
        <f t="shared" si="0"/>
        <v>37995.800000000003</v>
      </c>
    </row>
    <row r="12" spans="1:14" x14ac:dyDescent="0.25">
      <c r="A12" s="2" t="s">
        <v>22</v>
      </c>
      <c r="B12" s="3"/>
      <c r="C12" s="3"/>
      <c r="D12" s="3"/>
      <c r="K12" s="2" t="s">
        <v>27</v>
      </c>
      <c r="L12" s="3"/>
      <c r="M12" s="3"/>
      <c r="N12" s="3"/>
    </row>
    <row r="14" spans="1:14" x14ac:dyDescent="0.25">
      <c r="A14" t="s">
        <v>26</v>
      </c>
      <c r="H14" s="5"/>
      <c r="I14" s="5"/>
      <c r="J14" s="5"/>
      <c r="K14" s="17" t="s">
        <v>8</v>
      </c>
      <c r="L14" s="10" t="s">
        <v>9</v>
      </c>
      <c r="M14" s="5"/>
      <c r="N14" s="5"/>
    </row>
    <row r="16" spans="1:14" x14ac:dyDescent="0.25">
      <c r="K16" s="10"/>
      <c r="L16" s="10" t="s">
        <v>23</v>
      </c>
    </row>
    <row r="17" spans="1:12" ht="15.75" x14ac:dyDescent="0.25">
      <c r="K17" s="13" t="s">
        <v>12</v>
      </c>
      <c r="L17" s="11">
        <v>44675</v>
      </c>
    </row>
    <row r="18" spans="1:12" ht="15.75" x14ac:dyDescent="0.25">
      <c r="K18" s="13" t="s">
        <v>14</v>
      </c>
      <c r="L18" s="11">
        <v>34155</v>
      </c>
    </row>
    <row r="19" spans="1:12" ht="15.75" x14ac:dyDescent="0.25">
      <c r="K19" s="13" t="s">
        <v>13</v>
      </c>
      <c r="L19" s="11">
        <v>44196</v>
      </c>
    </row>
    <row r="20" spans="1:12" ht="15.75" x14ac:dyDescent="0.25">
      <c r="K20" s="13" t="s">
        <v>24</v>
      </c>
      <c r="L20" s="11">
        <v>123026</v>
      </c>
    </row>
    <row r="21" spans="1:12" ht="15.75" x14ac:dyDescent="0.25"/>
    <row r="23" spans="1:12" ht="40.9" customHeight="1" x14ac:dyDescent="0.25"/>
    <row r="24" spans="1:12" x14ac:dyDescent="0.25">
      <c r="A24" s="2" t="s">
        <v>16</v>
      </c>
      <c r="B24" s="3"/>
      <c r="C24" s="3"/>
      <c r="D24" s="3"/>
    </row>
  </sheetData>
  <pageMargins left="0.7" right="0.7" top="0.75" bottom="0.75" header="0.3" footer="0.3"/>
  <pageSetup orientation="portrait" horizontalDpi="0" verticalDpi="0"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
  <sheetViews>
    <sheetView workbookViewId="0"/>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F7896004-6D5E-4A3F-939D-7B0031DCD8D9}">
  <ds:schemaRefs>
    <ds:schemaRef ds:uri="http://schemas.microsoft.com/DataMashup"/>
  </ds:schemaRefs>
</ds:datastoreItem>
</file>

<file path=customXml/itemProps2.xml><?xml version="1.0" encoding="utf-8"?>
<ds:datastoreItem xmlns:ds="http://schemas.openxmlformats.org/officeDocument/2006/customXml" ds:itemID="{71A4B365-9295-4270-AF62-D670550EA851}">
  <ds:schemaRefs>
    <ds:schemaRef ds:uri="http://schemas.microsoft.com/PowerBIAddIn"/>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Dashboard</vt:lpstr>
      <vt:lpstr>Data</vt:lpstr>
      <vt:lpstr>Calculation</vt:lpstr>
      <vt:lpstr>Final Image</vt:lpstr>
      <vt:lpstr>TotalRev</vt:lpstr>
    </vt:vector>
  </TitlesOfParts>
  <Company>www.xelplus.com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Leila Gharani</dc:creator>
  <dc:description>This dashboard draft is a part of the online Excel Dashboard course. To find out more, visit www.xelplus.com.</dc:description>
  <cp:lastModifiedBy>BSmedley</cp:lastModifiedBy>
  <dcterms:created xsi:type="dcterms:W3CDTF">2017-02-08T16:00:27Z</dcterms:created>
  <dcterms:modified xsi:type="dcterms:W3CDTF">2018-09-09T15:53:44Z</dcterms:modified>
</cp:coreProperties>
</file>