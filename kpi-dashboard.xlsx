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ankshasharma/Downloads/"/>
    </mc:Choice>
  </mc:AlternateContent>
  <xr:revisionPtr revIDLastSave="0" documentId="13_ncr:1_{56DF5B83-7A37-1447-BB9F-F8F0F79FFEB0}" xr6:coauthVersionLast="47" xr6:coauthVersionMax="47" xr10:uidLastSave="{00000000-0000-0000-0000-000000000000}"/>
  <bookViews>
    <workbookView minimized="1" xWindow="0" yWindow="760" windowWidth="20520" windowHeight="9160" activeTab="3" xr2:uid="{00000000-000D-0000-FFFF-FFFF00000000}"/>
  </bookViews>
  <sheets>
    <sheet name="Dashboard" sheetId="2" r:id="rId1"/>
    <sheet name="Calculation" sheetId="8" r:id="rId2"/>
    <sheet name="Data" sheetId="5" r:id="rId3"/>
    <sheet name="Wireframe" sheetId="1" r:id="rId4"/>
    <sheet name="Control" sheetId="9" r:id="rId5"/>
  </sheets>
  <definedNames>
    <definedName name="cur_month">Dashboard!$F$6</definedName>
    <definedName name="cur_year">Dashboard!$F$5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5" i="8" l="1"/>
  <c r="AW21" i="8" l="1"/>
  <c r="AW22" i="8"/>
  <c r="AW23" i="8"/>
  <c r="AW24" i="8"/>
  <c r="AW25" i="8"/>
  <c r="AW26" i="8"/>
  <c r="AZ16" i="8" l="1"/>
  <c r="AZ17" i="8"/>
  <c r="AZ18" i="8"/>
  <c r="AZ23" i="8"/>
  <c r="AZ24" i="8"/>
  <c r="AZ25" i="8"/>
  <c r="AZ26" i="8"/>
  <c r="AW14" i="8" l="1"/>
  <c r="AX14" i="8"/>
  <c r="AY14" i="8"/>
  <c r="AV16" i="8"/>
  <c r="AV17" i="8"/>
  <c r="AV18" i="8"/>
  <c r="AV19" i="8"/>
  <c r="AV20" i="8"/>
  <c r="AV21" i="8"/>
  <c r="AV22" i="8"/>
  <c r="AV23" i="8"/>
  <c r="AV24" i="8"/>
  <c r="AV25" i="8"/>
  <c r="AV26" i="8"/>
  <c r="AV15" i="8"/>
  <c r="AQ13" i="8"/>
  <c r="AW13" i="8" s="1"/>
  <c r="AS13" i="8" l="1"/>
  <c r="AY13" i="8" s="1"/>
  <c r="AR13" i="8"/>
  <c r="AX13" i="8" s="1"/>
  <c r="AJ12" i="8"/>
  <c r="AJ13" i="8"/>
  <c r="AG14" i="8"/>
  <c r="T9" i="8" l="1"/>
  <c r="S9" i="8"/>
  <c r="R9" i="8"/>
  <c r="P9" i="8"/>
  <c r="Q9" i="8"/>
  <c r="U9" i="8"/>
  <c r="V9" i="8"/>
  <c r="W9" i="8"/>
  <c r="P10" i="8"/>
  <c r="Q10" i="8"/>
  <c r="R10" i="8"/>
  <c r="S10" i="8"/>
  <c r="T10" i="8"/>
  <c r="U10" i="8"/>
  <c r="V10" i="8"/>
  <c r="W10" i="8"/>
  <c r="P12" i="8"/>
  <c r="Q12" i="8"/>
  <c r="R12" i="8"/>
  <c r="S12" i="8"/>
  <c r="T12" i="8"/>
  <c r="U12" i="8"/>
  <c r="V12" i="8"/>
  <c r="W12" i="8"/>
  <c r="O9" i="8"/>
  <c r="O10" i="8"/>
  <c r="O12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15" i="8"/>
  <c r="S8" i="8" l="1"/>
  <c r="AF27" i="8"/>
  <c r="AF34" i="8"/>
  <c r="AG34" i="8" s="1"/>
  <c r="O34" i="8"/>
  <c r="S34" i="8"/>
  <c r="W34" i="8"/>
  <c r="V34" i="8"/>
  <c r="P34" i="8"/>
  <c r="T34" i="8"/>
  <c r="Q34" i="8"/>
  <c r="U34" i="8"/>
  <c r="R34" i="8"/>
  <c r="AF30" i="8"/>
  <c r="AG30" i="8" s="1"/>
  <c r="O30" i="8"/>
  <c r="S30" i="8"/>
  <c r="W30" i="8"/>
  <c r="R30" i="8"/>
  <c r="P30" i="8"/>
  <c r="T30" i="8"/>
  <c r="Q30" i="8"/>
  <c r="U30" i="8"/>
  <c r="V30" i="8"/>
  <c r="AF26" i="8"/>
  <c r="AF22" i="8"/>
  <c r="AF18" i="8"/>
  <c r="AF15" i="8"/>
  <c r="AF23" i="8"/>
  <c r="AF19" i="8"/>
  <c r="AF33" i="8"/>
  <c r="AG33" i="8" s="1"/>
  <c r="P33" i="8"/>
  <c r="T33" i="8"/>
  <c r="W33" i="8"/>
  <c r="Q33" i="8"/>
  <c r="U33" i="8"/>
  <c r="O33" i="8"/>
  <c r="R33" i="8"/>
  <c r="V33" i="8"/>
  <c r="S33" i="8"/>
  <c r="AF29" i="8"/>
  <c r="AF25" i="8"/>
  <c r="AF21" i="8"/>
  <c r="AF17" i="8"/>
  <c r="AF31" i="8"/>
  <c r="AG31" i="8" s="1"/>
  <c r="R31" i="8"/>
  <c r="V31" i="8"/>
  <c r="U31" i="8"/>
  <c r="O31" i="8"/>
  <c r="S31" i="8"/>
  <c r="W31" i="8"/>
  <c r="Q31" i="8"/>
  <c r="P31" i="8"/>
  <c r="T31" i="8"/>
  <c r="AF32" i="8"/>
  <c r="AG32" i="8" s="1"/>
  <c r="Q32" i="8"/>
  <c r="U32" i="8"/>
  <c r="T32" i="8"/>
  <c r="R32" i="8"/>
  <c r="V32" i="8"/>
  <c r="O32" i="8"/>
  <c r="S32" i="8"/>
  <c r="W32" i="8"/>
  <c r="P32" i="8"/>
  <c r="AF28" i="8"/>
  <c r="AF24" i="8"/>
  <c r="AF20" i="8"/>
  <c r="AF16" i="8"/>
  <c r="O8" i="8"/>
  <c r="P8" i="8"/>
  <c r="U8" i="8"/>
  <c r="R8" i="8"/>
  <c r="V8" i="8"/>
  <c r="W8" i="8"/>
  <c r="Q8" i="8"/>
  <c r="T8" i="8"/>
  <c r="M32" i="8"/>
  <c r="AB32" i="8"/>
  <c r="AA32" i="8"/>
  <c r="AC32" i="8"/>
  <c r="M20" i="8"/>
  <c r="M16" i="8"/>
  <c r="M15" i="8"/>
  <c r="AA31" i="8"/>
  <c r="AC31" i="8"/>
  <c r="AB31" i="8"/>
  <c r="M19" i="8"/>
  <c r="AA30" i="8"/>
  <c r="AB30" i="8"/>
  <c r="AC30" i="8"/>
  <c r="M18" i="8"/>
  <c r="M34" i="8"/>
  <c r="AA34" i="8"/>
  <c r="AC34" i="8"/>
  <c r="AB34" i="8"/>
  <c r="M33" i="8"/>
  <c r="AC33" i="8"/>
  <c r="AA33" i="8"/>
  <c r="AB33" i="8"/>
  <c r="M21" i="8"/>
  <c r="M17" i="8"/>
  <c r="M31" i="8"/>
  <c r="E22" i="2"/>
  <c r="M30" i="8"/>
  <c r="E21" i="2"/>
  <c r="M26" i="8"/>
  <c r="E17" i="2"/>
  <c r="M22" i="8"/>
  <c r="E13" i="2"/>
  <c r="M27" i="8"/>
  <c r="E18" i="2"/>
  <c r="M23" i="8"/>
  <c r="E14" i="2"/>
  <c r="M29" i="8"/>
  <c r="E20" i="2"/>
  <c r="M25" i="8"/>
  <c r="E16" i="2"/>
  <c r="M28" i="8"/>
  <c r="E19" i="2"/>
  <c r="M24" i="8"/>
  <c r="E15" i="2"/>
  <c r="Z32" i="8"/>
  <c r="X31" i="8"/>
  <c r="Y33" i="8"/>
  <c r="Y31" i="8"/>
  <c r="Z30" i="8"/>
  <c r="Y34" i="8"/>
  <c r="Y32" i="8"/>
  <c r="Y30" i="8"/>
  <c r="Z34" i="8"/>
  <c r="X33" i="8"/>
  <c r="X34" i="8"/>
  <c r="Z33" i="8"/>
  <c r="X32" i="8"/>
  <c r="Z31" i="8"/>
  <c r="X30" i="8"/>
  <c r="G14" i="8" a="1"/>
  <c r="G14" i="8" s="1"/>
  <c r="AP11" i="8" l="1"/>
  <c r="N36" i="8"/>
  <c r="D18" i="2"/>
  <c r="D13" i="2"/>
  <c r="D15" i="2"/>
  <c r="D14" i="2"/>
  <c r="D17" i="2"/>
  <c r="D19" i="2"/>
  <c r="D20" i="2"/>
  <c r="D16" i="2"/>
  <c r="D21" i="2"/>
  <c r="D22" i="2"/>
  <c r="I14" i="8"/>
  <c r="H14" i="8"/>
  <c r="B6" i="5"/>
  <c r="C6" i="5"/>
  <c r="D6" i="5"/>
  <c r="E6" i="5"/>
  <c r="F6" i="5"/>
  <c r="G6" i="5"/>
  <c r="H6" i="5"/>
  <c r="I6" i="5"/>
  <c r="J6" i="5"/>
  <c r="A2" i="5"/>
  <c r="C5" i="5" s="1"/>
  <c r="AV11" i="8" l="1"/>
  <c r="C4" i="5"/>
  <c r="U5" i="5"/>
  <c r="U4" i="5" s="1"/>
  <c r="B5" i="5"/>
  <c r="B4" i="5" s="1"/>
  <c r="AS5" i="5"/>
  <c r="AS4" i="5" s="1"/>
  <c r="Q5" i="5"/>
  <c r="Q4" i="5" s="1"/>
  <c r="AO5" i="5"/>
  <c r="AO4" i="5" s="1"/>
  <c r="M5" i="5"/>
  <c r="M4" i="5" s="1"/>
  <c r="I5" i="5"/>
  <c r="I4" i="5" s="1"/>
  <c r="AK5" i="5"/>
  <c r="AK4" i="5" s="1"/>
  <c r="AR5" i="5"/>
  <c r="AR4" i="5" s="1"/>
  <c r="AN5" i="5"/>
  <c r="AN4" i="5" s="1"/>
  <c r="AJ5" i="5"/>
  <c r="AJ4" i="5" s="1"/>
  <c r="T5" i="5"/>
  <c r="T4" i="5" s="1"/>
  <c r="P5" i="5"/>
  <c r="P4" i="5" s="1"/>
  <c r="L5" i="5"/>
  <c r="L4" i="5" s="1"/>
  <c r="H5" i="5"/>
  <c r="H4" i="5" s="1"/>
  <c r="B2" i="5"/>
  <c r="AQ5" i="5"/>
  <c r="AQ4" i="5" s="1"/>
  <c r="AM5" i="5"/>
  <c r="AM4" i="5" s="1"/>
  <c r="AI5" i="5"/>
  <c r="AI4" i="5" s="1"/>
  <c r="S5" i="5"/>
  <c r="S4" i="5" s="1"/>
  <c r="O5" i="5"/>
  <c r="O4" i="5" s="1"/>
  <c r="K5" i="5"/>
  <c r="AQ17" i="8" s="1"/>
  <c r="AW17" i="8" s="1"/>
  <c r="D5" i="5"/>
  <c r="D4" i="5" s="1"/>
  <c r="AT5" i="5"/>
  <c r="AT4" i="5" s="1"/>
  <c r="AP5" i="5"/>
  <c r="AP4" i="5" s="1"/>
  <c r="AL5" i="5"/>
  <c r="AL4" i="5" s="1"/>
  <c r="V5" i="5"/>
  <c r="V4" i="5" s="1"/>
  <c r="R5" i="5"/>
  <c r="R4" i="5" s="1"/>
  <c r="N5" i="5"/>
  <c r="N4" i="5" s="1"/>
  <c r="J5" i="5"/>
  <c r="J4" i="5" s="1"/>
  <c r="AQ20" i="8" l="1"/>
  <c r="AW20" i="8" s="1"/>
  <c r="AQ23" i="8"/>
  <c r="AQ21" i="8"/>
  <c r="AQ22" i="8"/>
  <c r="P28" i="8"/>
  <c r="O28" i="8"/>
  <c r="Q27" i="8"/>
  <c r="O27" i="8"/>
  <c r="P27" i="8"/>
  <c r="O29" i="8"/>
  <c r="P29" i="8"/>
  <c r="Q28" i="8"/>
  <c r="Q29" i="8"/>
  <c r="AQ19" i="8"/>
  <c r="AW19" i="8" s="1"/>
  <c r="AZ19" i="8" s="1"/>
  <c r="AQ25" i="8"/>
  <c r="AQ24" i="8"/>
  <c r="AQ26" i="8"/>
  <c r="AQ18" i="8"/>
  <c r="AW18" i="8" s="1"/>
  <c r="AQ15" i="8"/>
  <c r="AW15" i="8" s="1"/>
  <c r="AQ16" i="8"/>
  <c r="AW16" i="8" s="1"/>
  <c r="O20" i="8"/>
  <c r="F18" i="2" s="1"/>
  <c r="P26" i="8"/>
  <c r="Q17" i="8"/>
  <c r="V15" i="2" s="1"/>
  <c r="Q25" i="8"/>
  <c r="P23" i="8"/>
  <c r="N21" i="2" s="1"/>
  <c r="Q18" i="8"/>
  <c r="V16" i="2" s="1"/>
  <c r="O22" i="8"/>
  <c r="F20" i="2" s="1"/>
  <c r="P36" i="8"/>
  <c r="O16" i="8"/>
  <c r="F14" i="2" s="1"/>
  <c r="O24" i="8"/>
  <c r="F22" i="2" s="1"/>
  <c r="P19" i="8"/>
  <c r="O15" i="8"/>
  <c r="F13" i="2" s="1"/>
  <c r="O36" i="8"/>
  <c r="Q26" i="8"/>
  <c r="P25" i="8"/>
  <c r="Q15" i="8"/>
  <c r="V13" i="2" s="1"/>
  <c r="Q19" i="8"/>
  <c r="V17" i="2" s="1"/>
  <c r="Q20" i="8"/>
  <c r="V18" i="2" s="1"/>
  <c r="O23" i="8"/>
  <c r="F21" i="2" s="1"/>
  <c r="Q21" i="8"/>
  <c r="V19" i="2" s="1"/>
  <c r="P16" i="8"/>
  <c r="N14" i="2" s="1"/>
  <c r="Q24" i="8"/>
  <c r="O21" i="8"/>
  <c r="F19" i="2" s="1"/>
  <c r="O19" i="8"/>
  <c r="F17" i="2" s="1"/>
  <c r="P15" i="8"/>
  <c r="N13" i="2" s="1"/>
  <c r="O26" i="8"/>
  <c r="P22" i="8"/>
  <c r="N20" i="2" s="1"/>
  <c r="P24" i="8"/>
  <c r="N22" i="2" s="1"/>
  <c r="P21" i="8"/>
  <c r="N19" i="2" s="1"/>
  <c r="Q22" i="8"/>
  <c r="V20" i="2" s="1"/>
  <c r="Q36" i="8"/>
  <c r="Q16" i="8"/>
  <c r="V14" i="2" s="1"/>
  <c r="O17" i="8"/>
  <c r="F15" i="2" s="1"/>
  <c r="O25" i="8"/>
  <c r="Q23" i="8"/>
  <c r="V21" i="2" s="1"/>
  <c r="P18" i="8"/>
  <c r="N16" i="2" s="1"/>
  <c r="P20" i="8"/>
  <c r="N18" i="2" s="1"/>
  <c r="P17" i="8"/>
  <c r="N15" i="2" s="1"/>
  <c r="O18" i="8"/>
  <c r="F16" i="2" s="1"/>
  <c r="V22" i="2"/>
  <c r="AZ20" i="8"/>
  <c r="AZ21" i="8"/>
  <c r="AZ22" i="8"/>
  <c r="K4" i="5"/>
  <c r="N17" i="2"/>
  <c r="E5" i="5"/>
  <c r="E4" i="5" s="1"/>
  <c r="X5" i="5"/>
  <c r="X4" i="5" s="1"/>
  <c r="AB5" i="5"/>
  <c r="AF5" i="5"/>
  <c r="AF4" i="5" s="1"/>
  <c r="F5" i="5"/>
  <c r="F4" i="5" s="1"/>
  <c r="S29" i="8" s="1"/>
  <c r="Y5" i="5"/>
  <c r="Y4" i="5" s="1"/>
  <c r="AC5" i="5"/>
  <c r="AC4" i="5" s="1"/>
  <c r="AG5" i="5"/>
  <c r="AG4" i="5" s="1"/>
  <c r="G5" i="5"/>
  <c r="G4" i="5" s="1"/>
  <c r="Z5" i="5"/>
  <c r="Z4" i="5" s="1"/>
  <c r="AD5" i="5"/>
  <c r="AD4" i="5" s="1"/>
  <c r="AH5" i="5"/>
  <c r="AH4" i="5" s="1"/>
  <c r="W5" i="5"/>
  <c r="AA5" i="5"/>
  <c r="AA4" i="5" s="1"/>
  <c r="AE5" i="5"/>
  <c r="AE4" i="5" s="1"/>
  <c r="S25" i="8" l="1"/>
  <c r="AR19" i="8"/>
  <c r="R27" i="8"/>
  <c r="AS21" i="8"/>
  <c r="AY21" i="8" s="1"/>
  <c r="AS23" i="8"/>
  <c r="AY23" i="8" s="1"/>
  <c r="AS18" i="8"/>
  <c r="AY18" i="8" s="1"/>
  <c r="U29" i="8"/>
  <c r="U28" i="8"/>
  <c r="V29" i="8"/>
  <c r="AB29" i="8" s="1"/>
  <c r="AS15" i="8"/>
  <c r="AY15" i="8" s="1"/>
  <c r="U27" i="8"/>
  <c r="AS17" i="8"/>
  <c r="AR21" i="8"/>
  <c r="AR17" i="8"/>
  <c r="AX17" i="8" s="1"/>
  <c r="R29" i="8"/>
  <c r="X29" i="8" s="1"/>
  <c r="AS24" i="8"/>
  <c r="AY24" i="8" s="1"/>
  <c r="T28" i="8"/>
  <c r="Z28" i="8" s="1"/>
  <c r="S28" i="8"/>
  <c r="Y28" i="8" s="1"/>
  <c r="AR20" i="8"/>
  <c r="AX20" i="8" s="1"/>
  <c r="R28" i="8"/>
  <c r="V28" i="8"/>
  <c r="W4" i="5"/>
  <c r="AR24" i="8"/>
  <c r="AR22" i="8"/>
  <c r="AX22" i="8" s="1"/>
  <c r="AR26" i="8"/>
  <c r="AX26" i="8" s="1"/>
  <c r="AS22" i="8"/>
  <c r="AY22" i="8" s="1"/>
  <c r="AR16" i="8"/>
  <c r="AS16" i="8"/>
  <c r="AY16" i="8" s="1"/>
  <c r="W29" i="8"/>
  <c r="V27" i="8"/>
  <c r="AB27" i="8" s="1"/>
  <c r="AS20" i="8"/>
  <c r="AS19" i="8"/>
  <c r="AY19" i="8" s="1"/>
  <c r="AR25" i="8"/>
  <c r="AX25" i="8" s="1"/>
  <c r="AR23" i="8"/>
  <c r="AX23" i="8" s="1"/>
  <c r="AR18" i="8"/>
  <c r="AX18" i="8" s="1"/>
  <c r="W28" i="8"/>
  <c r="AC28" i="8" s="1"/>
  <c r="T27" i="8"/>
  <c r="W27" i="8"/>
  <c r="AC27" i="8" s="1"/>
  <c r="AR15" i="8"/>
  <c r="AX15" i="8" s="1"/>
  <c r="AS26" i="8"/>
  <c r="AY26" i="8" s="1"/>
  <c r="T29" i="8"/>
  <c r="S27" i="8"/>
  <c r="Y27" i="8" s="1"/>
  <c r="AS25" i="8"/>
  <c r="W17" i="8"/>
  <c r="AC17" i="8" s="1"/>
  <c r="AA15" i="2" s="1"/>
  <c r="AB15" i="2" s="1"/>
  <c r="W23" i="8"/>
  <c r="AC23" i="8" s="1"/>
  <c r="AA21" i="2" s="1"/>
  <c r="AB21" i="2" s="1"/>
  <c r="V36" i="8"/>
  <c r="O40" i="8" s="1"/>
  <c r="P40" i="8" s="1"/>
  <c r="W18" i="8"/>
  <c r="AC18" i="8" s="1"/>
  <c r="AA16" i="2" s="1"/>
  <c r="AB16" i="2" s="1"/>
  <c r="R15" i="8"/>
  <c r="X15" i="8" s="1"/>
  <c r="H13" i="2" s="1"/>
  <c r="I13" i="2" s="1"/>
  <c r="V21" i="8"/>
  <c r="AB21" i="8" s="1"/>
  <c r="S19" i="2" s="1"/>
  <c r="T19" i="2" s="1"/>
  <c r="R36" i="8"/>
  <c r="T23" i="8"/>
  <c r="Z23" i="8" s="1"/>
  <c r="X21" i="2" s="1"/>
  <c r="Y21" i="2" s="1"/>
  <c r="V19" i="8"/>
  <c r="V22" i="8"/>
  <c r="W20" i="8"/>
  <c r="AC20" i="8" s="1"/>
  <c r="AA18" i="2" s="1"/>
  <c r="AB18" i="2" s="1"/>
  <c r="U15" i="8"/>
  <c r="AA15" i="8" s="1"/>
  <c r="K13" i="2" s="1"/>
  <c r="L13" i="2" s="1"/>
  <c r="R16" i="8"/>
  <c r="X16" i="8" s="1"/>
  <c r="H14" i="2" s="1"/>
  <c r="I14" i="2" s="1"/>
  <c r="R20" i="8"/>
  <c r="X20" i="8" s="1"/>
  <c r="H18" i="2" s="1"/>
  <c r="I18" i="2" s="1"/>
  <c r="R17" i="8"/>
  <c r="X17" i="8" s="1"/>
  <c r="H15" i="2" s="1"/>
  <c r="I15" i="2" s="1"/>
  <c r="T18" i="8"/>
  <c r="Z18" i="8" s="1"/>
  <c r="X16" i="2" s="1"/>
  <c r="Y16" i="2" s="1"/>
  <c r="U16" i="8"/>
  <c r="AA16" i="8" s="1"/>
  <c r="K14" i="2" s="1"/>
  <c r="L14" i="2" s="1"/>
  <c r="U25" i="8"/>
  <c r="R25" i="8"/>
  <c r="X25" i="8" s="1"/>
  <c r="U19" i="8"/>
  <c r="AA19" i="8" s="1"/>
  <c r="K17" i="2" s="1"/>
  <c r="L17" i="2" s="1"/>
  <c r="T26" i="8"/>
  <c r="Z26" i="8" s="1"/>
  <c r="T20" i="8"/>
  <c r="Z20" i="8" s="1"/>
  <c r="X18" i="2" s="1"/>
  <c r="Y18" i="2" s="1"/>
  <c r="V16" i="8"/>
  <c r="AB16" i="8" s="1"/>
  <c r="S14" i="2" s="1"/>
  <c r="T14" i="2" s="1"/>
  <c r="R18" i="8"/>
  <c r="X18" i="8" s="1"/>
  <c r="H16" i="2" s="1"/>
  <c r="I16" i="2" s="1"/>
  <c r="S24" i="8"/>
  <c r="Y24" i="8" s="1"/>
  <c r="P22" i="2" s="1"/>
  <c r="Q22" i="2" s="1"/>
  <c r="W16" i="8"/>
  <c r="AC16" i="8" s="1"/>
  <c r="AA14" i="2" s="1"/>
  <c r="AB14" i="2" s="1"/>
  <c r="V15" i="8"/>
  <c r="AB15" i="8" s="1"/>
  <c r="S13" i="2" s="1"/>
  <c r="T13" i="2" s="1"/>
  <c r="W15" i="8"/>
  <c r="AC15" i="8" s="1"/>
  <c r="AA13" i="2" s="1"/>
  <c r="AB13" i="2" s="1"/>
  <c r="S20" i="8"/>
  <c r="R23" i="8"/>
  <c r="X23" i="8" s="1"/>
  <c r="H21" i="2" s="1"/>
  <c r="I21" i="2" s="1"/>
  <c r="S23" i="8"/>
  <c r="Y23" i="8" s="1"/>
  <c r="P21" i="2" s="1"/>
  <c r="Q21" i="2" s="1"/>
  <c r="S36" i="8"/>
  <c r="T36" i="8"/>
  <c r="T17" i="8"/>
  <c r="Z17" i="8" s="1"/>
  <c r="X15" i="2" s="1"/>
  <c r="Y15" i="2" s="1"/>
  <c r="T24" i="8"/>
  <c r="Z24" i="8" s="1"/>
  <c r="X22" i="2" s="1"/>
  <c r="Y22" i="2" s="1"/>
  <c r="V23" i="8"/>
  <c r="AB23" i="8" s="1"/>
  <c r="S21" i="2" s="1"/>
  <c r="T21" i="2" s="1"/>
  <c r="U18" i="8"/>
  <c r="AA18" i="8" s="1"/>
  <c r="K16" i="2" s="1"/>
  <c r="L16" i="2" s="1"/>
  <c r="W19" i="8"/>
  <c r="AC19" i="8" s="1"/>
  <c r="AA17" i="2" s="1"/>
  <c r="AB17" i="2" s="1"/>
  <c r="V18" i="8"/>
  <c r="AB18" i="8" s="1"/>
  <c r="S16" i="2" s="1"/>
  <c r="T16" i="2" s="1"/>
  <c r="T15" i="8"/>
  <c r="Z15" i="8" s="1"/>
  <c r="X13" i="2" s="1"/>
  <c r="Y13" i="2" s="1"/>
  <c r="U23" i="8"/>
  <c r="AA23" i="8" s="1"/>
  <c r="K21" i="2" s="1"/>
  <c r="L21" i="2" s="1"/>
  <c r="U20" i="8"/>
  <c r="AA20" i="8" s="1"/>
  <c r="K18" i="2" s="1"/>
  <c r="L18" i="2" s="1"/>
  <c r="T19" i="8"/>
  <c r="Z19" i="8" s="1"/>
  <c r="X17" i="2" s="1"/>
  <c r="Y17" i="2" s="1"/>
  <c r="W22" i="8"/>
  <c r="AC22" i="8" s="1"/>
  <c r="AA20" i="2" s="1"/>
  <c r="AB20" i="2" s="1"/>
  <c r="T25" i="8"/>
  <c r="Z25" i="8" s="1"/>
  <c r="R21" i="8"/>
  <c r="X21" i="8" s="1"/>
  <c r="H19" i="2" s="1"/>
  <c r="I19" i="2" s="1"/>
  <c r="U17" i="8"/>
  <c r="AA17" i="8" s="1"/>
  <c r="K15" i="2" s="1"/>
  <c r="L15" i="2" s="1"/>
  <c r="W24" i="8"/>
  <c r="AC24" i="8" s="1"/>
  <c r="AA22" i="2" s="1"/>
  <c r="AB22" i="2" s="1"/>
  <c r="S22" i="8"/>
  <c r="S21" i="8"/>
  <c r="V17" i="8"/>
  <c r="AB17" i="8" s="1"/>
  <c r="S15" i="2" s="1"/>
  <c r="T15" i="2" s="1"/>
  <c r="S19" i="8"/>
  <c r="Y19" i="8" s="1"/>
  <c r="P17" i="2" s="1"/>
  <c r="Q17" i="2" s="1"/>
  <c r="R24" i="8"/>
  <c r="X24" i="8" s="1"/>
  <c r="H22" i="2" s="1"/>
  <c r="I22" i="2" s="1"/>
  <c r="T22" i="8"/>
  <c r="Z22" i="8" s="1"/>
  <c r="X20" i="2" s="1"/>
  <c r="Y20" i="2" s="1"/>
  <c r="S17" i="8"/>
  <c r="Y17" i="8" s="1"/>
  <c r="P15" i="2" s="1"/>
  <c r="Q15" i="2" s="1"/>
  <c r="R19" i="8"/>
  <c r="X19" i="8" s="1"/>
  <c r="H17" i="2" s="1"/>
  <c r="I17" i="2" s="1"/>
  <c r="U22" i="8"/>
  <c r="AA22" i="8" s="1"/>
  <c r="K20" i="2" s="1"/>
  <c r="L20" i="2" s="1"/>
  <c r="U24" i="8"/>
  <c r="T16" i="8"/>
  <c r="Z16" i="8" s="1"/>
  <c r="X14" i="2" s="1"/>
  <c r="Y14" i="2" s="1"/>
  <c r="S16" i="8"/>
  <c r="Y16" i="8" s="1"/>
  <c r="P14" i="2" s="1"/>
  <c r="Q14" i="2" s="1"/>
  <c r="S26" i="8"/>
  <c r="Y26" i="8" s="1"/>
  <c r="U36" i="8"/>
  <c r="O39" i="8" s="1"/>
  <c r="P39" i="8" s="1"/>
  <c r="W25" i="8"/>
  <c r="AC25" i="8" s="1"/>
  <c r="W26" i="8"/>
  <c r="AC26" i="8" s="1"/>
  <c r="U26" i="8"/>
  <c r="AA26" i="8" s="1"/>
  <c r="V20" i="8"/>
  <c r="AB20" i="8" s="1"/>
  <c r="S18" i="2" s="1"/>
  <c r="T18" i="2" s="1"/>
  <c r="V26" i="8"/>
  <c r="AB26" i="8" s="1"/>
  <c r="U21" i="8"/>
  <c r="AA21" i="8" s="1"/>
  <c r="K19" i="2" s="1"/>
  <c r="L19" i="2" s="1"/>
  <c r="R22" i="8"/>
  <c r="V24" i="8"/>
  <c r="AB24" i="8" s="1"/>
  <c r="S22" i="2" s="1"/>
  <c r="T22" i="2" s="1"/>
  <c r="V25" i="8"/>
  <c r="AB25" i="8" s="1"/>
  <c r="W36" i="8"/>
  <c r="O41" i="8" s="1"/>
  <c r="P41" i="8" s="1"/>
  <c r="S15" i="8"/>
  <c r="Y15" i="8" s="1"/>
  <c r="P13" i="2" s="1"/>
  <c r="Q13" i="2" s="1"/>
  <c r="T21" i="8"/>
  <c r="S18" i="8"/>
  <c r="Y18" i="8" s="1"/>
  <c r="P16" i="2" s="1"/>
  <c r="Q16" i="2" s="1"/>
  <c r="W21" i="8"/>
  <c r="AC21" i="8" s="1"/>
  <c r="AA19" i="2" s="1"/>
  <c r="AB19" i="2" s="1"/>
  <c r="R26" i="8"/>
  <c r="X26" i="8" s="1"/>
  <c r="AB4" i="5"/>
  <c r="AX21" i="8"/>
  <c r="AY25" i="8"/>
  <c r="AA24" i="8"/>
  <c r="K22" i="2" s="1"/>
  <c r="L22" i="2" s="1"/>
  <c r="AB22" i="8"/>
  <c r="S20" i="2" s="1"/>
  <c r="T20" i="2" s="1"/>
  <c r="X22" i="8"/>
  <c r="H20" i="2" s="1"/>
  <c r="I20" i="2" s="1"/>
  <c r="AX19" i="8"/>
  <c r="AX16" i="8"/>
  <c r="Y22" i="8"/>
  <c r="P20" i="2" s="1"/>
  <c r="Q20" i="2" s="1"/>
  <c r="AB28" i="8"/>
  <c r="Y25" i="8"/>
  <c r="AB19" i="8"/>
  <c r="S17" i="2" s="1"/>
  <c r="T17" i="2" s="1"/>
  <c r="Y21" i="8"/>
  <c r="P19" i="2" s="1"/>
  <c r="Q19" i="2" s="1"/>
  <c r="Z21" i="8"/>
  <c r="X19" i="2" s="1"/>
  <c r="Y19" i="2" s="1"/>
  <c r="AC29" i="8"/>
  <c r="X28" i="8"/>
  <c r="Y29" i="8"/>
  <c r="AX24" i="8"/>
  <c r="Y20" i="8"/>
  <c r="P18" i="2" s="1"/>
  <c r="Q18" i="2" s="1"/>
  <c r="X27" i="8"/>
  <c r="AA29" i="8"/>
  <c r="AA27" i="8"/>
  <c r="AG27" i="8" s="1"/>
  <c r="Z27" i="8"/>
  <c r="AA28" i="8"/>
  <c r="AY20" i="8"/>
  <c r="AY17" i="8"/>
  <c r="AA25" i="8"/>
  <c r="Z29" i="8"/>
  <c r="AG25" i="8" l="1"/>
  <c r="AG29" i="8"/>
  <c r="AG28" i="8"/>
  <c r="AG18" i="8"/>
  <c r="AG26" i="8"/>
  <c r="AG16" i="8"/>
  <c r="AG15" i="8"/>
  <c r="AG19" i="8"/>
  <c r="Y40" i="8"/>
  <c r="AG22" i="8"/>
  <c r="AI20" i="8" s="1"/>
  <c r="AJ20" i="8" s="1"/>
  <c r="Y42" i="8"/>
  <c r="AG17" i="8"/>
  <c r="AA36" i="8"/>
  <c r="X36" i="8"/>
  <c r="AG20" i="8"/>
  <c r="AG24" i="8"/>
  <c r="Z36" i="8"/>
  <c r="AC36" i="8"/>
  <c r="Y39" i="8"/>
  <c r="Y44" i="8"/>
  <c r="Y36" i="8"/>
  <c r="AB36" i="8"/>
  <c r="Y41" i="8"/>
  <c r="Y43" i="8"/>
  <c r="AG21" i="8"/>
  <c r="AG23" i="8"/>
  <c r="AI18" i="8" l="1"/>
  <c r="AK18" i="8" s="1"/>
  <c r="AI17" i="8"/>
  <c r="AJ17" i="8" s="1"/>
  <c r="AM17" i="8" s="1"/>
  <c r="AI19" i="8"/>
  <c r="AJ19" i="8" s="1"/>
  <c r="AI15" i="8"/>
  <c r="AI16" i="8"/>
  <c r="AK16" i="8" s="1"/>
  <c r="AJ18" i="8"/>
  <c r="AM18" i="8" s="1"/>
  <c r="AK20" i="8"/>
  <c r="AL20" i="8" s="1"/>
  <c r="AM20" i="8"/>
  <c r="AM19" i="8" l="1"/>
  <c r="AK17" i="8"/>
  <c r="AL17" i="8" s="1"/>
  <c r="AK19" i="8"/>
  <c r="AL19" i="8" s="1"/>
  <c r="AL18" i="8"/>
  <c r="AJ16" i="8"/>
  <c r="AK15" i="8"/>
  <c r="AJ15" i="8"/>
  <c r="AM15" i="8" l="1"/>
  <c r="AL15" i="8"/>
  <c r="AM16" i="8"/>
  <c r="AL16" i="8"/>
</calcChain>
</file>

<file path=xl/sharedStrings.xml><?xml version="1.0" encoding="utf-8"?>
<sst xmlns="http://schemas.openxmlformats.org/spreadsheetml/2006/main" count="386" uniqueCount="144">
  <si>
    <t>Actual</t>
  </si>
  <si>
    <t>% PY</t>
  </si>
  <si>
    <t>% B</t>
  </si>
  <si>
    <t>App 1</t>
  </si>
  <si>
    <t>App 2</t>
  </si>
  <si>
    <t>App 3</t>
  </si>
  <si>
    <t>App 4</t>
  </si>
  <si>
    <t>App 5</t>
  </si>
  <si>
    <t>App 6</t>
  </si>
  <si>
    <t>App 7</t>
  </si>
  <si>
    <t>App 8</t>
  </si>
  <si>
    <t>App 9</t>
  </si>
  <si>
    <t>App 10</t>
  </si>
  <si>
    <t>99 / 142 / 198</t>
  </si>
  <si>
    <t>Budget</t>
  </si>
  <si>
    <t>119 / 187 / 226</t>
  </si>
  <si>
    <t>PY</t>
  </si>
  <si>
    <t>Connected to Database via add-in</t>
  </si>
  <si>
    <t>Actual PY</t>
  </si>
  <si>
    <t>Jun</t>
  </si>
  <si>
    <t>Jan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</si>
  <si>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</si>
  <si>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</si>
  <si>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</si>
  <si>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</si>
  <si>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</si>
  <si>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</si>
  <si>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</si>
  <si>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</si>
  <si>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</si>
  <si>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</si>
  <si>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Revenue</t>
  </si>
  <si>
    <t>Profit</t>
  </si>
  <si>
    <t>Cash</t>
  </si>
  <si>
    <t>Productivity Apps</t>
  </si>
  <si>
    <t>WenCaL</t>
  </si>
  <si>
    <t>Blend</t>
  </si>
  <si>
    <t>Voltage</t>
  </si>
  <si>
    <t>Inkly</t>
  </si>
  <si>
    <t>Sleops</t>
  </si>
  <si>
    <t>Kind Ape</t>
  </si>
  <si>
    <t>Pet Feed</t>
  </si>
  <si>
    <t>Right App</t>
  </si>
  <si>
    <t>Mirrrr</t>
  </si>
  <si>
    <t>Halotot</t>
  </si>
  <si>
    <t>Flowrrr</t>
  </si>
  <si>
    <t>Silvrr</t>
  </si>
  <si>
    <t>Dasring</t>
  </si>
  <si>
    <t>Rehire</t>
  </si>
  <si>
    <t>Didactic</t>
  </si>
  <si>
    <t>Game Apps</t>
  </si>
  <si>
    <t>Fightrr</t>
  </si>
  <si>
    <t>Kryptis</t>
  </si>
  <si>
    <t>Perino</t>
  </si>
  <si>
    <t>Five Labs</t>
  </si>
  <si>
    <t>Twistrr</t>
  </si>
  <si>
    <t>Hackrr</t>
  </si>
  <si>
    <t>Pes</t>
  </si>
  <si>
    <t>Baden</t>
  </si>
  <si>
    <t>Jellyfish</t>
  </si>
  <si>
    <t>Aviatrr</t>
  </si>
  <si>
    <t>deRamblr</t>
  </si>
  <si>
    <t>Arcade</t>
  </si>
  <si>
    <t>Utility Apps</t>
  </si>
  <si>
    <t>Commuta</t>
  </si>
  <si>
    <t>Infic</t>
  </si>
  <si>
    <t>Accord</t>
  </si>
  <si>
    <t>Misty Wash</t>
  </si>
  <si>
    <t>Twenty20</t>
  </si>
  <si>
    <t>Tanox</t>
  </si>
  <si>
    <t>Minor Liar</t>
  </si>
  <si>
    <t>Mosquit</t>
  </si>
  <si>
    <t>Atmos</t>
  </si>
  <si>
    <t>Scrap</t>
  </si>
  <si>
    <t>Motocyco</t>
  </si>
  <si>
    <t>Amplefio</t>
  </si>
  <si>
    <t>Strex</t>
  </si>
  <si>
    <t>Year</t>
  </si>
  <si>
    <t>Month</t>
  </si>
  <si>
    <t>Division</t>
  </si>
  <si>
    <t>Selected Division</t>
  </si>
  <si>
    <t>Selected Information (Form controls)</t>
  </si>
  <si>
    <t>For Drop-down selections</t>
  </si>
  <si>
    <t>App to Division Allocation</t>
  </si>
  <si>
    <t/>
  </si>
  <si>
    <t>Calculations for scrolling table</t>
  </si>
  <si>
    <t>Nr.</t>
  </si>
  <si>
    <t>App</t>
  </si>
  <si>
    <t>Variance Actual to PY</t>
  </si>
  <si>
    <t>Variance Actual to Budget</t>
  </si>
  <si>
    <t>Revenue%</t>
  </si>
  <si>
    <t>Profit%</t>
  </si>
  <si>
    <t>Cash%</t>
  </si>
  <si>
    <t>Unique key</t>
  </si>
  <si>
    <r>
      <t xml:space="preserve">% </t>
    </r>
    <r>
      <rPr>
        <sz val="11"/>
        <color theme="1"/>
        <rFont val="Arial"/>
        <family val="2"/>
      </rPr>
      <t>∆ PY</t>
    </r>
  </si>
  <si>
    <r>
      <t xml:space="preserve">% </t>
    </r>
    <r>
      <rPr>
        <sz val="11"/>
        <color theme="1"/>
        <rFont val="Arial"/>
        <family val="2"/>
      </rPr>
      <t>∆ B</t>
    </r>
  </si>
  <si>
    <t>Table Scroll Position</t>
  </si>
  <si>
    <t>Calculations for data bars in scrolling table</t>
  </si>
  <si>
    <t>Min Rev %</t>
  </si>
  <si>
    <t>Max Rev %</t>
  </si>
  <si>
    <t>Min Profit %</t>
  </si>
  <si>
    <t>Max Profit %</t>
  </si>
  <si>
    <t>Min Cash %</t>
  </si>
  <si>
    <t>Max Cash %</t>
  </si>
  <si>
    <t>Calculations for header</t>
  </si>
  <si>
    <t>Revenue A-B</t>
  </si>
  <si>
    <t>Profit A-B</t>
  </si>
  <si>
    <t>Cash A-B</t>
  </si>
  <si>
    <t>204 / 230 / 244</t>
  </si>
  <si>
    <t>Top 6 / Bottom 6 by KPI</t>
  </si>
  <si>
    <t>Basis - Unsorted</t>
  </si>
  <si>
    <t>Sorted</t>
  </si>
  <si>
    <t>KPI selection</t>
  </si>
  <si>
    <t>Top / Bottom Selection</t>
  </si>
  <si>
    <t>Label Position</t>
  </si>
  <si>
    <t>Label shown</t>
  </si>
  <si>
    <t>Profit Line chart</t>
  </si>
  <si>
    <t>Profit Scroll Position</t>
  </si>
  <si>
    <t>PY Checkbox</t>
  </si>
  <si>
    <t>Budget Checkbox</t>
  </si>
  <si>
    <t>Label position</t>
  </si>
  <si>
    <t>Data preparation for chart</t>
  </si>
  <si>
    <t>INSTRUCTIONS</t>
  </si>
  <si>
    <t xml:space="preserve">General </t>
  </si>
  <si>
    <t>▪ Select your Point of view from the drop-down box on the dashboard page</t>
  </si>
  <si>
    <t>▪ Refresh the data to retrieve from the database</t>
  </si>
  <si>
    <t>▪ That's it!</t>
  </si>
  <si>
    <t>Beware</t>
  </si>
  <si>
    <t>Do not overwrite the formulas in the Calculation Tab.</t>
  </si>
  <si>
    <t>Keep protection on for the Dashboard tab to make sure nothing is unintentionally shifted.</t>
  </si>
  <si>
    <t>Links</t>
  </si>
  <si>
    <t>Dashboard</t>
  </si>
  <si>
    <t>Presentation of results</t>
  </si>
  <si>
    <t>Calculation</t>
  </si>
  <si>
    <t>Raw preparation for Dashboard</t>
  </si>
  <si>
    <t>Raw Data</t>
  </si>
  <si>
    <t>Raw data, retrieved directly from Oracle database</t>
  </si>
  <si>
    <t>Additional resources</t>
  </si>
  <si>
    <t>View complete file on intranet (example for internet link)</t>
  </si>
  <si>
    <t>Version Control</t>
  </si>
  <si>
    <t>▪ Added additional calculations for % columns</t>
  </si>
  <si>
    <t>▪ changed KPI sorting to be based on % budget variance instead of full values</t>
  </si>
  <si>
    <t>▪ Included protection</t>
  </si>
  <si>
    <t>Feel free to remove sheet protection. Go to Review and click "unprotect sheet" - there is no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</si>
</sst>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[$-409]d\-mmm\-yy;@"/>
  </numFmts>
  <fonts count="1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9"/>
      <color theme="0" tint="-0.499984740745262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8"/>
      <color theme="0"/>
      <name val="Arial"/>
      <family val="2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color rgb="FF000000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77BBE2"/>
        <bgColor indexed="64"/>
      </patternFill>
    </fill>
    <fill>
      <patternFill patternType="solid">
        <fgColor rgb="FFCCE6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1" fillId="6" borderId="0" xfId="0" applyFont="1" applyFill="1"/>
    <xf numFmtId="0" fontId="2" fillId="6" borderId="0" xfId="0" applyFont="1" applyFill="1"/>
    <xf numFmtId="0" fontId="2" fillId="6" borderId="1" xfId="0" applyFont="1" applyFill="1" applyBorder="1"/>
    <xf numFmtId="0" fontId="1" fillId="7" borderId="0" xfId="0" applyFont="1" applyFill="1"/>
    <xf numFmtId="0" fontId="1" fillId="7" borderId="1" xfId="0" applyFont="1" applyFill="1" applyBorder="1"/>
    <xf numFmtId="0" fontId="1" fillId="6" borderId="2" xfId="0" applyFont="1" applyFill="1" applyBorder="1"/>
    <xf numFmtId="0" fontId="2" fillId="7" borderId="0" xfId="0" applyFont="1" applyFill="1"/>
    <xf numFmtId="0" fontId="0" fillId="0" borderId="2" xfId="0" applyBorder="1"/>
    <xf numFmtId="0" fontId="0" fillId="8" borderId="0" xfId="0" applyFill="1"/>
    <xf numFmtId="0" fontId="0" fillId="8" borderId="3" xfId="0" applyFill="1" applyBorder="1"/>
    <xf numFmtId="0" fontId="0" fillId="8" borderId="2" xfId="0" applyFill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10" borderId="0" xfId="0" applyFill="1"/>
    <xf numFmtId="0" fontId="2" fillId="10" borderId="0" xfId="0" applyFont="1" applyFill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11" borderId="0" xfId="0" applyFill="1"/>
    <xf numFmtId="9" fontId="0" fillId="0" borderId="0" xfId="1" applyFont="1"/>
    <xf numFmtId="9" fontId="0" fillId="0" borderId="13" xfId="1" applyFont="1" applyBorder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164" fontId="6" fillId="0" borderId="0" xfId="1" applyNumberFormat="1" applyFont="1"/>
    <xf numFmtId="164" fontId="6" fillId="0" borderId="0" xfId="0" applyNumberFormat="1" applyFont="1"/>
    <xf numFmtId="9" fontId="0" fillId="0" borderId="0" xfId="0" applyNumberFormat="1"/>
    <xf numFmtId="0" fontId="8" fillId="0" borderId="0" xfId="0" applyFont="1"/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0" fontId="4" fillId="11" borderId="0" xfId="0" applyFont="1" applyFill="1"/>
    <xf numFmtId="0" fontId="5" fillId="12" borderId="0" xfId="0" applyFont="1" applyFill="1"/>
    <xf numFmtId="0" fontId="6" fillId="12" borderId="0" xfId="0" applyFont="1" applyFill="1"/>
    <xf numFmtId="3" fontId="6" fillId="12" borderId="0" xfId="0" applyNumberFormat="1" applyFont="1" applyFill="1"/>
    <xf numFmtId="164" fontId="6" fillId="12" borderId="0" xfId="1" applyNumberFormat="1" applyFont="1" applyFill="1"/>
    <xf numFmtId="164" fontId="6" fillId="12" borderId="0" xfId="0" applyNumberFormat="1" applyFont="1" applyFill="1"/>
    <xf numFmtId="0" fontId="8" fillId="12" borderId="0" xfId="0" applyFont="1" applyFill="1"/>
    <xf numFmtId="3" fontId="0" fillId="0" borderId="0" xfId="0" applyNumberFormat="1"/>
    <xf numFmtId="3" fontId="0" fillId="0" borderId="13" xfId="0" applyNumberFormat="1" applyBorder="1"/>
    <xf numFmtId="165" fontId="0" fillId="0" borderId="0" xfId="0" applyNumberFormat="1"/>
    <xf numFmtId="0" fontId="6" fillId="9" borderId="0" xfId="0" applyFont="1" applyFill="1"/>
    <xf numFmtId="0" fontId="0" fillId="13" borderId="0" xfId="0" applyFill="1"/>
    <xf numFmtId="0" fontId="0" fillId="13" borderId="14" xfId="0" applyFill="1" applyBorder="1"/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4" borderId="0" xfId="0" applyFill="1"/>
    <xf numFmtId="0" fontId="9" fillId="14" borderId="0" xfId="0" applyFont="1" applyFill="1"/>
    <xf numFmtId="0" fontId="0" fillId="13" borderId="15" xfId="0" applyFill="1" applyBorder="1"/>
    <xf numFmtId="0" fontId="10" fillId="13" borderId="16" xfId="0" quotePrefix="1" applyFont="1" applyFill="1" applyBorder="1"/>
    <xf numFmtId="0" fontId="10" fillId="13" borderId="16" xfId="0" applyFont="1" applyFill="1" applyBorder="1"/>
    <xf numFmtId="0" fontId="0" fillId="13" borderId="16" xfId="0" applyFill="1" applyBorder="1"/>
    <xf numFmtId="0" fontId="11" fillId="0" borderId="0" xfId="0" applyFont="1" applyAlignment="1">
      <alignment horizontal="left" vertical="center"/>
    </xf>
    <xf numFmtId="166" fontId="7" fillId="13" borderId="16" xfId="0" applyNumberFormat="1" applyFont="1" applyFill="1" applyBorder="1" applyAlignment="1">
      <alignment horizontal="left"/>
    </xf>
    <xf numFmtId="0" fontId="12" fillId="0" borderId="0" xfId="2" applyFill="1"/>
    <xf numFmtId="0" fontId="7" fillId="11" borderId="0" xfId="0" applyFont="1" applyFill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6">
    <dxf>
      <font>
        <color rgb="FFFF8585"/>
      </font>
    </dxf>
    <dxf>
      <font>
        <color theme="9"/>
      </font>
    </dxf>
    <dxf>
      <font>
        <color rgb="FFFF8585"/>
      </font>
    </dxf>
    <dxf>
      <font>
        <color theme="9"/>
      </font>
    </dxf>
    <dxf>
      <font>
        <color rgb="FFFF8585"/>
      </font>
    </dxf>
    <dxf>
      <font>
        <color theme="9"/>
      </font>
    </dxf>
  </dxfs>
  <tableStyles count="0" defaultTableStyle="TableStyleMedium2" defaultPivotStyle="PivotStyleLight16"/>
  <colors>
    <mruColors>
      <color rgb="FFCCE6F4"/>
      <color rgb="FF77BBE2"/>
      <color rgb="FF638EC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2237986617503E-2"/>
          <c:y val="0.15898819002733874"/>
          <c:w val="0.94235524026764994"/>
          <c:h val="0.6355919254029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Calculation!$AJ$14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Calculation!$AI$15:$AI$20</c:f>
              <c:strCache>
                <c:ptCount val="6"/>
                <c:pt idx="0">
                  <c:v>Commuta</c:v>
                </c:pt>
                <c:pt idx="1">
                  <c:v>Mosquit</c:v>
                </c:pt>
                <c:pt idx="2">
                  <c:v>Infic</c:v>
                </c:pt>
                <c:pt idx="3">
                  <c:v>Motocyco</c:v>
                </c:pt>
                <c:pt idx="4">
                  <c:v>Twenty20</c:v>
                </c:pt>
                <c:pt idx="5">
                  <c:v>Tanox</c:v>
                </c:pt>
              </c:strCache>
            </c:strRef>
          </c:cat>
          <c:val>
            <c:numRef>
              <c:f>Calculation!$AJ$15:$AJ$20</c:f>
              <c:numCache>
                <c:formatCode>#,##0</c:formatCode>
                <c:ptCount val="6"/>
                <c:pt idx="0">
                  <c:v>6353</c:v>
                </c:pt>
                <c:pt idx="1">
                  <c:v>6302</c:v>
                </c:pt>
                <c:pt idx="2">
                  <c:v>12373</c:v>
                </c:pt>
                <c:pt idx="3">
                  <c:v>11182</c:v>
                </c:pt>
                <c:pt idx="4">
                  <c:v>20400</c:v>
                </c:pt>
                <c:pt idx="5">
                  <c:v>21088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1-4D00-8C14-E1E22B465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59738904"/>
        <c:axId val="559747104"/>
      </c:barChart>
      <c:lineChart>
        <c:grouping val="standard"/>
        <c:varyColors val="0"/>
        <c:ser>
          <c:idx val="1"/>
          <c:order val="1"/>
          <c:tx>
            <c:strRef>
              <c:f>Calculation!$AK$14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77BBE2"/>
                </a:solidFill>
                <a:round/>
              </a:ln>
              <a:effectLst/>
            </c:spPr>
          </c:errBars>
          <c:cat>
            <c:strRef>
              <c:f>Calculation!$AI$15:$AI$20</c:f>
              <c:strCache>
                <c:ptCount val="6"/>
                <c:pt idx="0">
                  <c:v>Commuta</c:v>
                </c:pt>
                <c:pt idx="1">
                  <c:v>Mosquit</c:v>
                </c:pt>
                <c:pt idx="2">
                  <c:v>Infic</c:v>
                </c:pt>
                <c:pt idx="3">
                  <c:v>Motocyco</c:v>
                </c:pt>
                <c:pt idx="4">
                  <c:v>Twenty20</c:v>
                </c:pt>
                <c:pt idx="5">
                  <c:v>Tanox</c:v>
                </c:pt>
              </c:strCache>
            </c:strRef>
          </c:cat>
          <c:val>
            <c:numRef>
              <c:f>Calculation!$AK$15:$AK$20</c:f>
              <c:numCache>
                <c:formatCode>#,##0</c:formatCode>
                <c:ptCount val="6"/>
                <c:pt idx="0">
                  <c:v>5275</c:v>
                </c:pt>
                <c:pt idx="1">
                  <c:v>5293</c:v>
                </c:pt>
                <c:pt idx="2">
                  <c:v>10472</c:v>
                </c:pt>
                <c:pt idx="3">
                  <c:v>9952</c:v>
                </c:pt>
                <c:pt idx="4">
                  <c:v>18476.8</c:v>
                </c:pt>
                <c:pt idx="5">
                  <c:v>19156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1-4D00-8C14-E1E22B465340}"/>
            </c:ext>
          </c:extLst>
        </c:ser>
        <c:ser>
          <c:idx val="2"/>
          <c:order val="2"/>
          <c:tx>
            <c:strRef>
              <c:f>Calculation!$AL$14</c:f>
              <c:strCache>
                <c:ptCount val="1"/>
                <c:pt idx="0">
                  <c:v>Label Position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6F65DF6-97D6-3D4F-8FCE-815A87AEF3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E01-4D00-8C14-E1E22B4653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C790C88-0E4A-9D44-BD9C-3D0F8F0D4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E01-4D00-8C14-E1E22B4653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4B3B4B-22AF-1749-8CB7-C41E7BA1C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E01-4D00-8C14-E1E22B4653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39BDB7-CBCA-FE4C-8705-76BC48C05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E01-4D00-8C14-E1E22B4653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541359-C8E4-0C48-B618-431B7DA11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E01-4D00-8C14-E1E22B4653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2790E0-276F-AF49-9B1A-E48F95C8A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E01-4D00-8C14-E1E22B465340}"/>
                </c:ext>
              </c:extLst>
            </c:dLbl>
            <c:spPr>
              <a:noFill/>
              <a:ln>
                <a:solidFill>
                  <a:srgbClr val="638EC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Calculation!$AL$15:$AL$20</c:f>
              <c:numCache>
                <c:formatCode>#,##0</c:formatCode>
                <c:ptCount val="6"/>
                <c:pt idx="0">
                  <c:v>6353</c:v>
                </c:pt>
                <c:pt idx="1">
                  <c:v>6302</c:v>
                </c:pt>
                <c:pt idx="2">
                  <c:v>12373</c:v>
                </c:pt>
                <c:pt idx="3">
                  <c:v>11182</c:v>
                </c:pt>
                <c:pt idx="4">
                  <c:v>20400</c:v>
                </c:pt>
                <c:pt idx="5">
                  <c:v>21088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Calculation!$AM$15:$AM$20</c15:f>
                <c15:dlblRangeCache>
                  <c:ptCount val="6"/>
                  <c:pt idx="0">
                    <c:v>20% | 6,353</c:v>
                  </c:pt>
                  <c:pt idx="1">
                    <c:v>19% | 6,302</c:v>
                  </c:pt>
                  <c:pt idx="2">
                    <c:v>18% | 12,373</c:v>
                  </c:pt>
                  <c:pt idx="3">
                    <c:v>12% | 11,182</c:v>
                  </c:pt>
                  <c:pt idx="4">
                    <c:v>10% | 20,400</c:v>
                  </c:pt>
                  <c:pt idx="5">
                    <c:v>10% | 21,088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E01-4D00-8C14-E1E22B465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38904"/>
        <c:axId val="559747104"/>
      </c:lineChart>
      <c:catAx>
        <c:axId val="55973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47104"/>
        <c:crosses val="autoZero"/>
        <c:auto val="1"/>
        <c:lblAlgn val="ctr"/>
        <c:lblOffset val="100"/>
        <c:noMultiLvlLbl val="0"/>
      </c:catAx>
      <c:valAx>
        <c:axId val="5597471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5973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5.4513032245877072E-2"/>
          <c:y val="3.6954628717656028E-2"/>
          <c:w val="0.12213244054552352"/>
          <c:h val="7.458195642368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8032191150212"/>
          <c:y val="0.16545833876175653"/>
          <c:w val="0.78535412474541"/>
          <c:h val="0.63319798665347726"/>
        </c:manualLayout>
      </c:layout>
      <c:lineChart>
        <c:grouping val="standard"/>
        <c:varyColors val="0"/>
        <c:ser>
          <c:idx val="1"/>
          <c:order val="0"/>
          <c:tx>
            <c:v>PY</c:v>
          </c:tx>
          <c:spPr>
            <a:ln w="28575" cap="rnd">
              <a:solidFill>
                <a:srgbClr val="CCE6F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13-4EAC-AFAC-738AA01B8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Calculation!$AX$15:$AX$26</c:f>
              <c:numCache>
                <c:formatCode>#,##0</c:formatCode>
                <c:ptCount val="12"/>
                <c:pt idx="0">
                  <c:v>1081.8</c:v>
                </c:pt>
                <c:pt idx="1">
                  <c:v>1914.2</c:v>
                </c:pt>
                <c:pt idx="2">
                  <c:v>3013.9</c:v>
                </c:pt>
                <c:pt idx="3">
                  <c:v>4416.3999999999996</c:v>
                </c:pt>
                <c:pt idx="4">
                  <c:v>5770.1</c:v>
                </c:pt>
                <c:pt idx="5">
                  <c:v>7247.9000000000005</c:v>
                </c:pt>
                <c:pt idx="6">
                  <c:v>8752.2000000000007</c:v>
                </c:pt>
                <c:pt idx="7">
                  <c:v>9323.7999999999993</c:v>
                </c:pt>
                <c:pt idx="8">
                  <c:v>10122.5</c:v>
                </c:pt>
                <c:pt idx="9">
                  <c:v>10897.7</c:v>
                </c:pt>
                <c:pt idx="10">
                  <c:v>11759</c:v>
                </c:pt>
                <c:pt idx="11">
                  <c:v>11946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13-4EAC-AFAC-738AA01B872C}"/>
            </c:ext>
          </c:extLst>
        </c:ser>
        <c:ser>
          <c:idx val="2"/>
          <c:order val="1"/>
          <c:tx>
            <c:strRef>
              <c:f>Calculation!$AY$14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77BBE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13-4EAC-AFAC-738AA01B8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Calculation!$AY$15:$AY$26</c:f>
              <c:numCache>
                <c:formatCode>#,##0</c:formatCode>
                <c:ptCount val="12"/>
                <c:pt idx="0">
                  <c:v>1097.7</c:v>
                </c:pt>
                <c:pt idx="1">
                  <c:v>2174.8000000000002</c:v>
                </c:pt>
                <c:pt idx="2">
                  <c:v>3533.9</c:v>
                </c:pt>
                <c:pt idx="3">
                  <c:v>4717.1000000000004</c:v>
                </c:pt>
                <c:pt idx="4">
                  <c:v>6398.7999999999993</c:v>
                </c:pt>
                <c:pt idx="5">
                  <c:v>7933.2</c:v>
                </c:pt>
                <c:pt idx="6">
                  <c:v>9431.5</c:v>
                </c:pt>
                <c:pt idx="7">
                  <c:v>9732.7999999999993</c:v>
                </c:pt>
                <c:pt idx="8">
                  <c:v>11196.7</c:v>
                </c:pt>
                <c:pt idx="9">
                  <c:v>12313.3</c:v>
                </c:pt>
                <c:pt idx="10">
                  <c:v>13505.4</c:v>
                </c:pt>
                <c:pt idx="11">
                  <c:v>13380.699999999999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13-4EAC-AFAC-738AA01B872C}"/>
            </c:ext>
          </c:extLst>
        </c:ser>
        <c:ser>
          <c:idx val="0"/>
          <c:order val="2"/>
          <c:tx>
            <c:strRef>
              <c:f>Calculation!$AW$14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Calculation!$AW$15:$AW$26</c:f>
              <c:numCache>
                <c:formatCode>General</c:formatCode>
                <c:ptCount val="12"/>
                <c:pt idx="0">
                  <c:v>1232.5999999999999</c:v>
                </c:pt>
                <c:pt idx="1">
                  <c:v>2521.8000000000002</c:v>
                </c:pt>
                <c:pt idx="2">
                  <c:v>3867.8</c:v>
                </c:pt>
                <c:pt idx="3">
                  <c:v>5348.4</c:v>
                </c:pt>
                <c:pt idx="4">
                  <c:v>7289.8</c:v>
                </c:pt>
                <c:pt idx="5">
                  <c:v>8869.2000000000007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13-4EAC-AFAC-738AA01B872C}"/>
            </c:ext>
          </c:extLst>
        </c:ser>
        <c:ser>
          <c:idx val="3"/>
          <c:order val="3"/>
          <c:tx>
            <c:strRef>
              <c:f>Calculation!$AZ$14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alpha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Calculation!$AZ$15:$AZ$26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8869.2000000000007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13-4EAC-AFAC-738AA01B8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515184"/>
        <c:axId val="499518792"/>
      </c:lineChart>
      <c:catAx>
        <c:axId val="4995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18792"/>
        <c:crosses val="autoZero"/>
        <c:auto val="1"/>
        <c:lblAlgn val="ctr"/>
        <c:lblOffset val="100"/>
        <c:noMultiLvlLbl val="0"/>
      </c:catAx>
      <c:valAx>
        <c:axId val="49951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33" fmlaLink="Calculation!$D$4" fmlaRange="Calculation!$C$15:$C$17" noThreeD="1" sel="3" val="0"/>
</file>

<file path=xl/ctrlProps/ctrlProp2.xml><?xml version="1.0" encoding="utf-8"?>
<formControlPr xmlns="http://schemas.microsoft.com/office/spreadsheetml/2009/9/main" objectType="Scroll" dx="39" fmlaLink="Calculation!$D$5" max="11" min="1" page="5"/>
</file>

<file path=xl/ctrlProps/ctrlProp3.xml><?xml version="1.0" encoding="utf-8"?>
<formControlPr xmlns="http://schemas.microsoft.com/office/spreadsheetml/2009/9/main" objectType="List" dx="39" fmlaLink="Calculation!$D$6" fmlaRange="Calculation!$D$15:$D$17" noThreeD="1" sel="1" val="0"/>
</file>

<file path=xl/ctrlProps/ctrlProp4.xml><?xml version="1.0" encoding="utf-8"?>
<formControlPr xmlns="http://schemas.microsoft.com/office/spreadsheetml/2009/9/main" objectType="Radio" checked="Checked" firstButton="1" fmlaLink="Calculation!$D$7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Scroll" dx="39" fmlaLink="Calculation!$D$8" horiz="1" max="20" min="1" page="5"/>
</file>

<file path=xl/ctrlProps/ctrlProp7.xml><?xml version="1.0" encoding="utf-8"?>
<formControlPr xmlns="http://schemas.microsoft.com/office/spreadsheetml/2009/9/main" objectType="CheckBox" checked="Checked" fmlaLink="Calculation!$D$9" lockText="1" noThreeD="1"/>
</file>

<file path=xl/ctrlProps/ctrlProp8.xml><?xml version="1.0" encoding="utf-8"?>
<formControlPr xmlns="http://schemas.microsoft.com/office/spreadsheetml/2009/9/main" objectType="CheckBox" checked="Checked" fmlaLink="Calculation!$D$10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hyperlink" Target="#Contro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</xdr:row>
          <xdr:rowOff>25400</xdr:rowOff>
        </xdr:from>
        <xdr:to>
          <xdr:col>8</xdr:col>
          <xdr:colOff>50800</xdr:colOff>
          <xdr:row>7</xdr:row>
          <xdr:rowOff>25400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203200</xdr:colOff>
          <xdr:row>12</xdr:row>
          <xdr:rowOff>25400</xdr:rowOff>
        </xdr:from>
        <xdr:to>
          <xdr:col>29</xdr:col>
          <xdr:colOff>2316</xdr:colOff>
          <xdr:row>22</xdr:row>
          <xdr:rowOff>2076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237565</xdr:colOff>
      <xdr:row>5</xdr:row>
      <xdr:rowOff>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48" t="18015"/>
        <a:stretch/>
      </xdr:blipFill>
      <xdr:spPr>
        <a:xfrm>
          <a:off x="0" y="0"/>
          <a:ext cx="790015" cy="565146"/>
        </a:xfrm>
        <a:prstGeom prst="rect">
          <a:avLst/>
        </a:prstGeom>
        <a:noFill/>
      </xdr:spPr>
    </xdr:pic>
    <xdr:clientData/>
  </xdr:twoCellAnchor>
  <xdr:oneCellAnchor>
    <xdr:from>
      <xdr:col>12</xdr:col>
      <xdr:colOff>19050</xdr:colOff>
      <xdr:row>4</xdr:row>
      <xdr:rowOff>152400</xdr:rowOff>
    </xdr:from>
    <xdr:ext cx="184731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267200" y="538163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57150</xdr:colOff>
      <xdr:row>1</xdr:row>
      <xdr:rowOff>38099</xdr:rowOff>
    </xdr:from>
    <xdr:to>
      <xdr:col>16</xdr:col>
      <xdr:colOff>295275</xdr:colOff>
      <xdr:row>7</xdr:row>
      <xdr:rowOff>14287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194634" y="101998"/>
          <a:ext cx="1683849" cy="830842"/>
          <a:chOff x="5457825" y="161925"/>
          <a:chExt cx="1671638" cy="84772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457825" y="166687"/>
            <a:ext cx="1671638" cy="8429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O36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5919788" y="414337"/>
            <a:ext cx="1204912" cy="304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49CB1881-D4AB-4544-80C6-53F2DEBA9367}" type="TxLink">
              <a:rPr lang="en-US" sz="14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$189,979</a:t>
            </a:fld>
            <a:endParaRPr lang="en-US" sz="1400"/>
          </a:p>
        </xdr:txBody>
      </xdr:sp>
      <xdr:sp macro="" textlink="Calculation!O39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5595938" y="738187"/>
            <a:ext cx="833438" cy="2295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9C511805-DDA7-4CEB-A28E-3C2A22292A52}" type="TxLink">
              <a:rPr lang="en-US" sz="900" b="0" i="0" u="none" strike="noStrike">
                <a:solidFill>
                  <a:srgbClr val="638EC6"/>
                </a:solidFill>
                <a:latin typeface="Arial"/>
                <a:cs typeface="Arial"/>
              </a:rPr>
              <a:pPr/>
              <a:t>$8,514</a:t>
            </a:fld>
            <a:endParaRPr lang="en-US" sz="900">
              <a:solidFill>
                <a:srgbClr val="638EC6"/>
              </a:solidFill>
            </a:endParaRPr>
          </a:p>
        </xdr:txBody>
      </xdr:sp>
      <xdr:sp macro="" textlink="Calculation!P39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191244" y="738187"/>
            <a:ext cx="890345" cy="2295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650DD944-41A3-470B-805E-41DA5985ADB7}" type="TxLink">
              <a:rPr lang="en-US" sz="900" b="0" i="0" u="none" strike="noStrike">
                <a:solidFill>
                  <a:srgbClr val="638EC6"/>
                </a:solidFill>
                <a:latin typeface="Arial"/>
                <a:cs typeface="Arial"/>
              </a:rPr>
              <a:pPr/>
              <a:t>Over Budget</a:t>
            </a:fld>
            <a:endParaRPr lang="en-US" sz="900">
              <a:solidFill>
                <a:srgbClr val="638EC6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5524500" y="161925"/>
            <a:ext cx="826188" cy="269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/>
              <a:t>Revenue</a:t>
            </a:r>
          </a:p>
        </xdr:txBody>
      </xdr:sp>
    </xdr:grpSp>
    <xdr:clientData/>
  </xdr:twoCellAnchor>
  <xdr:twoCellAnchor>
    <xdr:from>
      <xdr:col>16</xdr:col>
      <xdr:colOff>233373</xdr:colOff>
      <xdr:row>1</xdr:row>
      <xdr:rowOff>47625</xdr:rowOff>
    </xdr:from>
    <xdr:to>
      <xdr:col>21</xdr:col>
      <xdr:colOff>180082</xdr:colOff>
      <xdr:row>7</xdr:row>
      <xdr:rowOff>23813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5816581" y="111524"/>
          <a:ext cx="1648029" cy="830842"/>
          <a:chOff x="5457825" y="161925"/>
          <a:chExt cx="1671638" cy="847725"/>
        </a:xfrm>
        <a:solidFill>
          <a:srgbClr val="638EC6"/>
        </a:solidFill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5457825" y="166687"/>
            <a:ext cx="1671638" cy="842963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P36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/>
        </xdr:nvSpPr>
        <xdr:spPr>
          <a:xfrm>
            <a:off x="5919788" y="414337"/>
            <a:ext cx="1204912" cy="304872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45A56869-BD1A-4F73-B3ED-D32953E86C03}" type="TxLink">
              <a:rPr lang="en-US" sz="1400" b="0" i="0" u="none" strike="noStrike">
                <a:solidFill>
                  <a:schemeClr val="bg1"/>
                </a:solidFill>
                <a:latin typeface="Arial"/>
                <a:cs typeface="Arial"/>
              </a:rPr>
              <a:pPr/>
              <a:t>$8,869</a:t>
            </a:fld>
            <a:endParaRPr lang="en-US" sz="1800">
              <a:solidFill>
                <a:schemeClr val="bg1"/>
              </a:solidFill>
            </a:endParaRPr>
          </a:p>
        </xdr:txBody>
      </xdr:sp>
      <xdr:sp macro="" textlink="Calculation!O40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5595938" y="738187"/>
            <a:ext cx="833438" cy="229570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FC45F328-1062-48CA-AB01-BF74C9E9ADF4}" type="TxLink">
              <a:rPr lang="en-US" sz="900" b="0" i="0" u="none" strike="noStrike">
                <a:solidFill>
                  <a:schemeClr val="bg1"/>
                </a:solidFill>
                <a:latin typeface="Arial"/>
                <a:cs typeface="Arial"/>
              </a:rPr>
              <a:pPr/>
              <a:t>$747</a:t>
            </a:fld>
            <a:endParaRPr lang="en-US" sz="900">
              <a:solidFill>
                <a:schemeClr val="bg1"/>
              </a:solidFill>
            </a:endParaRPr>
          </a:p>
        </xdr:txBody>
      </xdr:sp>
      <xdr:sp macro="" textlink="Calculation!P40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6189949" y="738187"/>
            <a:ext cx="909697" cy="2295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94382F85-FCCD-461C-837B-EA90D12BE18E}" type="TxLink">
              <a:rPr lang="en-US" sz="900" b="0" i="0" u="none" strike="noStrike">
                <a:solidFill>
                  <a:schemeClr val="bg1"/>
                </a:solidFill>
                <a:latin typeface="Arial"/>
                <a:cs typeface="Arial"/>
              </a:rPr>
              <a:pPr/>
              <a:t>Over Budget</a:t>
            </a:fld>
            <a:endParaRPr lang="en-US" sz="900">
              <a:solidFill>
                <a:schemeClr val="bg1"/>
              </a:solidFill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5524500" y="161925"/>
            <a:ext cx="586443" cy="269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>
                <a:solidFill>
                  <a:schemeClr val="bg1"/>
                </a:solidFill>
              </a:rPr>
              <a:t>Profit</a:t>
            </a:r>
          </a:p>
        </xdr:txBody>
      </xdr:sp>
    </xdr:grpSp>
    <xdr:clientData/>
  </xdr:twoCellAnchor>
  <xdr:twoCellAnchor>
    <xdr:from>
      <xdr:col>21</xdr:col>
      <xdr:colOff>157160</xdr:colOff>
      <xdr:row>1</xdr:row>
      <xdr:rowOff>47627</xdr:rowOff>
    </xdr:from>
    <xdr:to>
      <xdr:col>24</xdr:col>
      <xdr:colOff>628648</xdr:colOff>
      <xdr:row>7</xdr:row>
      <xdr:rowOff>23815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7441688" y="111526"/>
          <a:ext cx="1677589" cy="830842"/>
          <a:chOff x="5457825" y="161925"/>
          <a:chExt cx="1671638" cy="847725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457825" y="166687"/>
            <a:ext cx="1671638" cy="84296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Q36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5919788" y="414337"/>
            <a:ext cx="1204912" cy="304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fld id="{A7E457AB-E689-4C17-BEEF-AF84EB0CE332}" type="TxLink">
              <a:rPr lang="en-US" sz="1400" b="0" i="0" u="none" strike="noStrike">
                <a:solidFill>
                  <a:srgbClr val="000000"/>
                </a:solidFill>
                <a:latin typeface="Arial"/>
                <a:ea typeface="+mn-ea"/>
                <a:cs typeface="Arial"/>
              </a:rPr>
              <a:pPr marL="0" indent="0"/>
              <a:t>$91,467</a:t>
            </a:fld>
            <a:endParaRPr lang="en-US" sz="1400" b="0" i="0" u="none" strike="noStrike">
              <a:solidFill>
                <a:srgbClr val="000000"/>
              </a:solidFill>
              <a:latin typeface="Arial"/>
              <a:ea typeface="+mn-ea"/>
              <a:cs typeface="Arial"/>
            </a:endParaRPr>
          </a:p>
        </xdr:txBody>
      </xdr:sp>
      <xdr:sp macro="" textlink="Calculation!O41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5595938" y="738187"/>
            <a:ext cx="833438" cy="2295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fld id="{C670AC49-C7ED-47BE-AB09-D1029BBCDD5F}" type="TxLink">
              <a:rPr lang="en-US" sz="900" b="0" i="0" u="none" strike="noStrike">
                <a:solidFill>
                  <a:srgbClr val="638EC6"/>
                </a:solidFill>
                <a:latin typeface="Arial"/>
                <a:ea typeface="+mn-ea"/>
                <a:cs typeface="Arial"/>
              </a:rPr>
              <a:pPr marL="0" indent="0"/>
              <a:t>-$3,314</a:t>
            </a:fld>
            <a:endParaRPr lang="en-US" sz="900" b="0" i="0" u="none" strike="noStrike">
              <a:solidFill>
                <a:srgbClr val="638EC6"/>
              </a:solidFill>
              <a:latin typeface="Arial"/>
              <a:ea typeface="+mn-ea"/>
              <a:cs typeface="Arial"/>
            </a:endParaRPr>
          </a:p>
        </xdr:txBody>
      </xdr:sp>
      <xdr:sp macro="" textlink="Calculation!P41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6229348" y="738187"/>
            <a:ext cx="896849" cy="2295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fld id="{0E0A4AE1-5A52-4C1F-B711-7F688888501F}" type="TxLink">
              <a:rPr lang="en-US" sz="900" b="0" i="0" u="none" strike="noStrike">
                <a:solidFill>
                  <a:srgbClr val="638EC6"/>
                </a:solidFill>
                <a:latin typeface="Arial"/>
                <a:ea typeface="+mn-ea"/>
                <a:cs typeface="Arial"/>
              </a:rPr>
              <a:pPr marL="0" indent="0"/>
              <a:t>Under Budget</a:t>
            </a:fld>
            <a:endParaRPr lang="en-US" sz="900" b="0" i="0" u="none" strike="noStrike">
              <a:solidFill>
                <a:srgbClr val="638EC6"/>
              </a:solidFill>
              <a:latin typeface="Arial"/>
              <a:ea typeface="+mn-ea"/>
              <a:cs typeface="Arial"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5524500" y="161925"/>
            <a:ext cx="560987" cy="269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/>
              <a:t>Cash</a:t>
            </a:r>
          </a:p>
        </xdr:txBody>
      </xdr:sp>
    </xdr:grpSp>
    <xdr:clientData/>
  </xdr:twoCellAnchor>
  <xdr:oneCellAnchor>
    <xdr:from>
      <xdr:col>4</xdr:col>
      <xdr:colOff>604838</xdr:colOff>
      <xdr:row>0</xdr:row>
      <xdr:rowOff>0</xdr:rowOff>
    </xdr:from>
    <xdr:ext cx="2005012" cy="298800"/>
    <xdr:sp macro="" textlink="Calculation!N36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57288" y="0"/>
          <a:ext cx="200501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624396-0609-49B2-B9DD-88525B75F4AB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Utility Apps</a:t>
          </a:fld>
          <a:endParaRPr lang="en-US" sz="1400" b="1"/>
        </a:p>
      </xdr:txBody>
    </xdr:sp>
    <xdr:clientData/>
  </xdr:oneCellAnchor>
  <xdr:twoCellAnchor>
    <xdr:from>
      <xdr:col>5</xdr:col>
      <xdr:colOff>133351</xdr:colOff>
      <xdr:row>24</xdr:row>
      <xdr:rowOff>0</xdr:rowOff>
    </xdr:from>
    <xdr:to>
      <xdr:col>16</xdr:col>
      <xdr:colOff>549593</xdr:colOff>
      <xdr:row>39</xdr:row>
      <xdr:rowOff>67975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24</xdr:row>
          <xdr:rowOff>165100</xdr:rowOff>
        </xdr:from>
        <xdr:to>
          <xdr:col>4</xdr:col>
          <xdr:colOff>787400</xdr:colOff>
          <xdr:row>28</xdr:row>
          <xdr:rowOff>63500</xdr:rowOff>
        </xdr:to>
        <xdr:sp macro="" textlink="">
          <xdr:nvSpPr>
            <xdr:cNvPr id="2052" name="List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30</xdr:row>
          <xdr:rowOff>12700</xdr:rowOff>
        </xdr:from>
        <xdr:to>
          <xdr:col>4</xdr:col>
          <xdr:colOff>457200</xdr:colOff>
          <xdr:row>31</xdr:row>
          <xdr:rowOff>63500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Top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31</xdr:row>
          <xdr:rowOff>25400</xdr:rowOff>
        </xdr:from>
        <xdr:to>
          <xdr:col>4</xdr:col>
          <xdr:colOff>457200</xdr:colOff>
          <xdr:row>32</xdr:row>
          <xdr:rowOff>101600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Bottom 6</a:t>
              </a:r>
            </a:p>
          </xdr:txBody>
        </xdr:sp>
        <xdr:clientData/>
      </xdr:twoCellAnchor>
    </mc:Choice>
    <mc:Fallback/>
  </mc:AlternateContent>
  <xdr:oneCellAnchor>
    <xdr:from>
      <xdr:col>3</xdr:col>
      <xdr:colOff>95255</xdr:colOff>
      <xdr:row>33</xdr:row>
      <xdr:rowOff>33337</xdr:rowOff>
    </xdr:from>
    <xdr:ext cx="1014412" cy="357662"/>
    <xdr:sp macro="" textlink="Calculation!AJ12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66718" y="5105400"/>
          <a:ext cx="1014412" cy="3576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3EE3283-B1BE-40FC-B1C7-37A15361F1D7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Top 6 sorted based on % ∆ B</a:t>
          </a:fld>
          <a:endParaRPr lang="en-US" sz="1050"/>
        </a:p>
      </xdr:txBody>
    </xdr:sp>
    <xdr:clientData/>
  </xdr:oneCellAnchor>
  <xdr:twoCellAnchor>
    <xdr:from>
      <xdr:col>2</xdr:col>
      <xdr:colOff>76200</xdr:colOff>
      <xdr:row>22</xdr:row>
      <xdr:rowOff>157162</xdr:rowOff>
    </xdr:from>
    <xdr:to>
      <xdr:col>16</xdr:col>
      <xdr:colOff>681037</xdr:colOff>
      <xdr:row>24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7175" y="3343275"/>
          <a:ext cx="6705600" cy="233363"/>
        </a:xfrm>
        <a:prstGeom prst="rect">
          <a:avLst/>
        </a:prstGeom>
        <a:solidFill>
          <a:srgbClr val="638EC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95255</xdr:colOff>
      <xdr:row>22</xdr:row>
      <xdr:rowOff>52385</xdr:rowOff>
    </xdr:from>
    <xdr:ext cx="2490782" cy="254557"/>
    <xdr:sp macro="" textlink="Calculation!AJ13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66718" y="3238498"/>
          <a:ext cx="249078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50DD36B-EA5F-4B24-8EC0-5473B7F25335}" type="TxLink">
            <a:rPr lang="en-US" sz="1100" b="1" i="0" u="none" strike="noStrike">
              <a:solidFill>
                <a:schemeClr val="bg1"/>
              </a:solidFill>
              <a:latin typeface="Arial"/>
              <a:cs typeface="Arial"/>
            </a:rPr>
            <a:pPr/>
            <a:t>Actual Revenue Vs. Budget</a:t>
          </a:fld>
          <a:endParaRPr lang="en-US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18</xdr:col>
      <xdr:colOff>57150</xdr:colOff>
      <xdr:row>23</xdr:row>
      <xdr:rowOff>57149</xdr:rowOff>
    </xdr:from>
    <xdr:to>
      <xdr:col>28</xdr:col>
      <xdr:colOff>299605</xdr:colOff>
      <xdr:row>39</xdr:row>
      <xdr:rowOff>84858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76200</xdr:colOff>
      <xdr:row>23</xdr:row>
      <xdr:rowOff>0</xdr:rowOff>
    </xdr:from>
    <xdr:to>
      <xdr:col>28</xdr:col>
      <xdr:colOff>395287</xdr:colOff>
      <xdr:row>24</xdr:row>
      <xdr:rowOff>47625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7043738" y="3267075"/>
          <a:ext cx="4333874" cy="219075"/>
        </a:xfrm>
        <a:prstGeom prst="rect">
          <a:avLst/>
        </a:prstGeom>
        <a:solidFill>
          <a:srgbClr val="638EC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190500</xdr:colOff>
          <xdr:row>23</xdr:row>
          <xdr:rowOff>25400</xdr:rowOff>
        </xdr:from>
        <xdr:to>
          <xdr:col>28</xdr:col>
          <xdr:colOff>330200</xdr:colOff>
          <xdr:row>24</xdr:row>
          <xdr:rowOff>25400</xdr:rowOff>
        </xdr:to>
        <xdr:sp macro="" textlink="">
          <xdr:nvSpPr>
            <xdr:cNvPr id="2056" name="Scroll Bar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50800</xdr:colOff>
          <xdr:row>24</xdr:row>
          <xdr:rowOff>88900</xdr:rowOff>
        </xdr:from>
        <xdr:to>
          <xdr:col>28</xdr:col>
          <xdr:colOff>0</xdr:colOff>
          <xdr:row>26</xdr:row>
          <xdr:rowOff>2076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406400</xdr:colOff>
          <xdr:row>24</xdr:row>
          <xdr:rowOff>88900</xdr:rowOff>
        </xdr:from>
        <xdr:to>
          <xdr:col>29</xdr:col>
          <xdr:colOff>63500</xdr:colOff>
          <xdr:row>25</xdr:row>
          <xdr:rowOff>165100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Budget</a:t>
              </a:r>
            </a:p>
          </xdr:txBody>
        </xdr:sp>
        <xdr:clientData/>
      </xdr:twoCellAnchor>
    </mc:Choice>
    <mc:Fallback/>
  </mc:AlternateContent>
  <xdr:oneCellAnchor>
    <xdr:from>
      <xdr:col>18</xdr:col>
      <xdr:colOff>47625</xdr:colOff>
      <xdr:row>22</xdr:row>
      <xdr:rowOff>52385</xdr:rowOff>
    </xdr:from>
    <xdr:ext cx="2019300" cy="254557"/>
    <xdr:sp macro="" textlink="Calculation!AV11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405563" y="3238498"/>
          <a:ext cx="20193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91CBF5E-7CB9-48BA-AB8E-5321F9B6627D}" type="TxLink">
            <a:rPr lang="en-US" sz="1100" b="1" i="0" u="none" strike="noStrike">
              <a:solidFill>
                <a:schemeClr val="bg1"/>
              </a:solidFill>
              <a:latin typeface="Arial"/>
              <a:ea typeface="+mn-ea"/>
              <a:cs typeface="Arial"/>
            </a:rPr>
            <a:pPr marL="0" indent="0"/>
            <a:t>Profit for Utility Apps</a:t>
          </a:fld>
          <a:endParaRPr lang="en-US" sz="1100" b="1" i="0" u="none" strike="noStrike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oneCellAnchor>
  <xdr:twoCellAnchor>
    <xdr:from>
      <xdr:col>26</xdr:col>
      <xdr:colOff>300037</xdr:colOff>
      <xdr:row>0</xdr:row>
      <xdr:rowOff>47626</xdr:rowOff>
    </xdr:from>
    <xdr:to>
      <xdr:col>29</xdr:col>
      <xdr:colOff>71437</xdr:colOff>
      <xdr:row>3</xdr:row>
      <xdr:rowOff>66675</xdr:rowOff>
    </xdr:to>
    <xdr:sp macro="" textlink="">
      <xdr:nvSpPr>
        <xdr:cNvPr id="15" name="Rectangle: Rounded Corner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548812" y="47626"/>
          <a:ext cx="847725" cy="23336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900"/>
            <a:t>Instructions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0.17487</cdr:x>
      <cdr:y>0.04725</cdr:y>
    </cdr:from>
    <cdr:to>
      <cdr:x>0.28147</cdr:x>
      <cdr:y>0.10655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F3AF408-77CC-4820-84F2-2D9F062E7DD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8177" y="121510"/>
          <a:ext cx="480470" cy="15250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1</xdr:row>
      <xdr:rowOff>100014</xdr:rowOff>
    </xdr:from>
    <xdr:to>
      <xdr:col>3</xdr:col>
      <xdr:colOff>461962</xdr:colOff>
      <xdr:row>5</xdr:row>
      <xdr:rowOff>152400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47700" y="280989"/>
          <a:ext cx="1757362" cy="776286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For POV</a:t>
          </a:r>
          <a:r>
            <a:rPr lang="en-US" sz="1100" baseline="0">
              <a:solidFill>
                <a:schemeClr val="tx1"/>
              </a:solidFill>
            </a:rPr>
            <a:t> Selection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571501</xdr:colOff>
      <xdr:row>1</xdr:row>
      <xdr:rowOff>119063</xdr:rowOff>
    </xdr:from>
    <xdr:to>
      <xdr:col>7</xdr:col>
      <xdr:colOff>466726</xdr:colOff>
      <xdr:row>5</xdr:row>
      <xdr:rowOff>90488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562352" y="300038"/>
          <a:ext cx="1114424" cy="6953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1 Overview</a:t>
          </a:r>
          <a:endParaRPr lang="en-US" sz="1100"/>
        </a:p>
      </xdr:txBody>
    </xdr:sp>
    <xdr:clientData/>
  </xdr:twoCellAnchor>
  <xdr:twoCellAnchor>
    <xdr:from>
      <xdr:col>8</xdr:col>
      <xdr:colOff>304799</xdr:colOff>
      <xdr:row>1</xdr:row>
      <xdr:rowOff>128587</xdr:rowOff>
    </xdr:from>
    <xdr:to>
      <xdr:col>10</xdr:col>
      <xdr:colOff>200024</xdr:colOff>
      <xdr:row>5</xdr:row>
      <xdr:rowOff>100012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162549" y="309562"/>
          <a:ext cx="1190625" cy="6953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2 Overview</a:t>
          </a:r>
          <a:endParaRPr lang="en-US" sz="1100"/>
        </a:p>
      </xdr:txBody>
    </xdr:sp>
    <xdr:clientData/>
  </xdr:twoCellAnchor>
  <xdr:twoCellAnchor>
    <xdr:from>
      <xdr:col>11</xdr:col>
      <xdr:colOff>9525</xdr:colOff>
      <xdr:row>1</xdr:row>
      <xdr:rowOff>138113</xdr:rowOff>
    </xdr:from>
    <xdr:to>
      <xdr:col>12</xdr:col>
      <xdr:colOff>590550</xdr:colOff>
      <xdr:row>5</xdr:row>
      <xdr:rowOff>109538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810375" y="319088"/>
          <a:ext cx="1228725" cy="6953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3 Overview</a:t>
          </a:r>
          <a:endParaRPr lang="en-US" sz="1100"/>
        </a:p>
      </xdr:txBody>
    </xdr:sp>
    <xdr:clientData/>
  </xdr:twoCellAnchor>
  <xdr:twoCellAnchor>
    <xdr:from>
      <xdr:col>0</xdr:col>
      <xdr:colOff>661987</xdr:colOff>
      <xdr:row>6</xdr:row>
      <xdr:rowOff>109539</xdr:rowOff>
    </xdr:from>
    <xdr:to>
      <xdr:col>13</xdr:col>
      <xdr:colOff>0</xdr:colOff>
      <xdr:row>21</xdr:row>
      <xdr:rowOff>42863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47699" y="1195389"/>
          <a:ext cx="8029576" cy="2647949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Scrolling</a:t>
          </a:r>
          <a:r>
            <a:rPr lang="en-US" sz="1100" baseline="0">
              <a:solidFill>
                <a:schemeClr val="tx1"/>
              </a:solidFill>
            </a:rPr>
            <a:t> table - details of KPI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676274</xdr:colOff>
      <xdr:row>22</xdr:row>
      <xdr:rowOff>23814</xdr:rowOff>
    </xdr:from>
    <xdr:to>
      <xdr:col>7</xdr:col>
      <xdr:colOff>19049</xdr:colOff>
      <xdr:row>32</xdr:row>
      <xdr:rowOff>71438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47699" y="4005264"/>
          <a:ext cx="3581400" cy="1857374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Bar chart Top</a:t>
          </a:r>
          <a:r>
            <a:rPr lang="en-US" sz="1100" baseline="0">
              <a:solidFill>
                <a:schemeClr val="tx1"/>
              </a:solidFill>
            </a:rPr>
            <a:t> / Bottom analysis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666750</xdr:colOff>
      <xdr:row>22</xdr:row>
      <xdr:rowOff>14289</xdr:rowOff>
    </xdr:from>
    <xdr:to>
      <xdr:col>13</xdr:col>
      <xdr:colOff>1</xdr:colOff>
      <xdr:row>32</xdr:row>
      <xdr:rowOff>61913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857750" y="3995739"/>
          <a:ext cx="3819526" cy="1857374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Scrolling Line</a:t>
          </a:r>
          <a:r>
            <a:rPr lang="en-US" sz="1100" baseline="0">
              <a:solidFill>
                <a:schemeClr val="tx1"/>
              </a:solidFill>
            </a:rPr>
            <a:t> chart - EBIT analysis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533401</xdr:colOff>
      <xdr:row>23</xdr:row>
      <xdr:rowOff>33338</xdr:rowOff>
    </xdr:from>
    <xdr:to>
      <xdr:col>11</xdr:col>
      <xdr:colOff>676276</xdr:colOff>
      <xdr:row>31</xdr:row>
      <xdr:rowOff>153245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1" y="4195763"/>
          <a:ext cx="2200275" cy="1491507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14289</xdr:rowOff>
    </xdr:from>
    <xdr:to>
      <xdr:col>5</xdr:col>
      <xdr:colOff>128280</xdr:colOff>
      <xdr:row>31</xdr:row>
      <xdr:rowOff>109539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45" b="4213"/>
        <a:stretch/>
      </xdr:blipFill>
      <xdr:spPr>
        <a:xfrm>
          <a:off x="1171575" y="4357689"/>
          <a:ext cx="2223780" cy="1295400"/>
        </a:xfrm>
        <a:prstGeom prst="rect">
          <a:avLst/>
        </a:prstGeom>
      </xdr:spPr>
    </xdr:pic>
    <xdr:clientData/>
  </xdr:twoCellAnchor>
  <xdr:oneCellAnchor>
    <xdr:from>
      <xdr:col>2</xdr:col>
      <xdr:colOff>376237</xdr:colOff>
      <xdr:row>8</xdr:row>
      <xdr:rowOff>100013</xdr:rowOff>
    </xdr:from>
    <xdr:ext cx="537455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671637" y="1547813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1</a:t>
          </a:r>
        </a:p>
      </xdr:txBody>
    </xdr:sp>
    <xdr:clientData/>
  </xdr:oneCellAnchor>
  <xdr:oneCellAnchor>
    <xdr:from>
      <xdr:col>6</xdr:col>
      <xdr:colOff>566738</xdr:colOff>
      <xdr:row>8</xdr:row>
      <xdr:rowOff>80963</xdr:rowOff>
    </xdr:from>
    <xdr:ext cx="537455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129088" y="1528763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2</a:t>
          </a:r>
        </a:p>
      </xdr:txBody>
    </xdr:sp>
    <xdr:clientData/>
  </xdr:oneCellAnchor>
  <xdr:oneCellAnchor>
    <xdr:from>
      <xdr:col>10</xdr:col>
      <xdr:colOff>371475</xdr:colOff>
      <xdr:row>8</xdr:row>
      <xdr:rowOff>95251</xdr:rowOff>
    </xdr:from>
    <xdr:ext cx="537455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6524625" y="1543051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3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104215</xdr:colOff>
      <xdr:row>3</xdr:row>
      <xdr:rowOff>50796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48" t="18015"/>
        <a:stretch/>
      </xdr:blipFill>
      <xdr:spPr>
        <a:xfrm>
          <a:off x="0" y="0"/>
          <a:ext cx="790015" cy="5651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KPI Dashboard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38EC6"/>
      </a:accent1>
      <a:accent2>
        <a:srgbClr val="77BBE2"/>
      </a:accent2>
      <a:accent3>
        <a:srgbClr val="D2E9F6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elpl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39"/>
  <sheetViews>
    <sheetView showGridLines="0" showRowColHeaders="0" topLeftCell="A6" zoomScale="159" zoomScaleNormal="100" workbookViewId="0">
      <selection activeCell="T10" sqref="T10"/>
    </sheetView>
  </sheetViews>
  <sheetFormatPr baseColWidth="10" defaultColWidth="0" defaultRowHeight="14" zeroHeight="1" x14ac:dyDescent="0.15"/>
  <cols>
    <col min="1" max="3" width="1.1640625" customWidth="1"/>
    <col min="4" max="4" width="3.6640625" customWidth="1"/>
    <col min="5" max="5" width="12.1640625" customWidth="1"/>
    <col min="6" max="6" width="8" customWidth="1"/>
    <col min="7" max="7" width="1.1640625" customWidth="1"/>
    <col min="8" max="8" width="6.6640625" customWidth="1"/>
    <col min="9" max="9" width="9" customWidth="1"/>
    <col min="10" max="10" width="1.1640625" customWidth="1"/>
    <col min="11" max="11" width="6.6640625" customWidth="1"/>
    <col min="12" max="12" width="2.33203125" customWidth="1"/>
    <col min="13" max="13" width="3.1640625" customWidth="1"/>
    <col min="14" max="14" width="8" customWidth="1"/>
    <col min="15" max="15" width="1.1640625" customWidth="1"/>
    <col min="16" max="16" width="6.6640625" customWidth="1"/>
    <col min="17" max="17" width="9" customWidth="1"/>
    <col min="18" max="18" width="1.1640625" customWidth="1"/>
    <col min="19" max="19" width="6.6640625" customWidth="1"/>
    <col min="20" max="20" width="2.33203125" customWidth="1"/>
    <col min="21" max="21" width="3.1640625" customWidth="1"/>
    <col min="22" max="22" width="8" customWidth="1"/>
    <col min="23" max="23" width="1.1640625" customWidth="1"/>
    <col min="24" max="24" width="6.6640625" customWidth="1"/>
    <col min="25" max="25" width="9" customWidth="1"/>
    <col min="26" max="26" width="1.1640625" customWidth="1"/>
    <col min="27" max="27" width="6.6640625" customWidth="1"/>
    <col min="28" max="28" width="2.33203125" customWidth="1"/>
    <col min="29" max="29" width="5.1640625" customWidth="1"/>
    <col min="30" max="30" width="2" customWidth="1"/>
    <col min="31" max="16384" width="9" hidden="1"/>
  </cols>
  <sheetData>
    <row r="1" spans="2:30" ht="5.75" customHeight="1" x14ac:dyDescent="0.15"/>
    <row r="2" spans="2:30" ht="5.75" customHeight="1" x14ac:dyDescent="0.15"/>
    <row r="3" spans="2:30" ht="5.75" customHeight="1" x14ac:dyDescent="0.15"/>
    <row r="4" spans="2:30" x14ac:dyDescent="0.15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2:30" x14ac:dyDescent="0.15">
      <c r="B5" s="43"/>
      <c r="C5" s="43"/>
      <c r="D5" s="43"/>
      <c r="E5" s="43" t="s">
        <v>77</v>
      </c>
      <c r="F5" s="80">
        <v>2017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2:30" x14ac:dyDescent="0.15">
      <c r="B6" s="43"/>
      <c r="C6" s="43"/>
      <c r="D6" s="43"/>
      <c r="E6" s="43" t="s">
        <v>78</v>
      </c>
      <c r="F6" s="80" t="s">
        <v>19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spans="2:30" ht="16.25" customHeight="1" x14ac:dyDescent="0.15">
      <c r="B7" s="43"/>
      <c r="C7" s="43"/>
      <c r="D7" s="43"/>
      <c r="E7" s="43" t="s">
        <v>79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2:30" ht="5.5" customHeight="1" x14ac:dyDescent="0.15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55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pans="2:30" ht="5.5" customHeight="1" x14ac:dyDescent="0.15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2:30" x14ac:dyDescent="0.15">
      <c r="B10" s="43"/>
      <c r="C10" s="43"/>
      <c r="F10" s="54" t="s">
        <v>31</v>
      </c>
      <c r="G10" s="53"/>
      <c r="H10" s="53"/>
      <c r="I10" s="53"/>
      <c r="J10" s="53"/>
      <c r="K10" s="53"/>
      <c r="L10" s="53"/>
      <c r="N10" s="54" t="s">
        <v>32</v>
      </c>
      <c r="O10" s="53"/>
      <c r="P10" s="53"/>
      <c r="Q10" s="53"/>
      <c r="R10" s="53"/>
      <c r="S10" s="53"/>
      <c r="T10" s="53"/>
      <c r="V10" s="54" t="s">
        <v>33</v>
      </c>
      <c r="W10" s="53"/>
      <c r="X10" s="53"/>
      <c r="Y10" s="53"/>
      <c r="Z10" s="53"/>
      <c r="AA10" s="53"/>
      <c r="AB10" s="53"/>
      <c r="AD10" s="43"/>
    </row>
    <row r="11" spans="2:30" x14ac:dyDescent="0.15">
      <c r="B11" s="43"/>
      <c r="C11" s="43"/>
      <c r="F11" s="31" t="s">
        <v>0</v>
      </c>
      <c r="H11" t="s">
        <v>94</v>
      </c>
      <c r="K11" t="s">
        <v>95</v>
      </c>
      <c r="N11" s="31" t="s">
        <v>0</v>
      </c>
      <c r="P11" t="s">
        <v>94</v>
      </c>
      <c r="S11" t="s">
        <v>95</v>
      </c>
      <c r="V11" s="31" t="s">
        <v>0</v>
      </c>
      <c r="X11" t="s">
        <v>94</v>
      </c>
      <c r="AA11" t="s">
        <v>95</v>
      </c>
      <c r="AD11" s="43"/>
    </row>
    <row r="12" spans="2:30" ht="3" customHeight="1" x14ac:dyDescent="0.15">
      <c r="B12" s="43"/>
      <c r="C12" s="43"/>
      <c r="F12" s="1"/>
      <c r="H12" s="3"/>
      <c r="I12" s="3"/>
      <c r="K12" s="2"/>
      <c r="L12" s="2"/>
      <c r="N12" s="1"/>
      <c r="P12" s="3"/>
      <c r="Q12" s="3"/>
      <c r="S12" s="2"/>
      <c r="T12" s="2"/>
      <c r="V12" s="1"/>
      <c r="X12" s="3"/>
      <c r="Y12" s="3"/>
      <c r="AA12" s="2"/>
      <c r="AB12" s="2"/>
      <c r="AD12" s="43"/>
    </row>
    <row r="13" spans="2:30" x14ac:dyDescent="0.15">
      <c r="B13" s="43"/>
      <c r="C13" s="43"/>
      <c r="D13" s="56">
        <f>INDEX(Calculation!M15:M$34,Calculation!$D$5)</f>
        <v>1</v>
      </c>
      <c r="E13" s="57" t="str">
        <f>INDEX(Calculation!N15:N$34,Calculation!$D$5)</f>
        <v>Commuta</v>
      </c>
      <c r="F13" s="58">
        <f>INDEX(Calculation!O15:O$34,Calculation!$D$5)</f>
        <v>6353</v>
      </c>
      <c r="G13" s="57"/>
      <c r="H13" s="59">
        <f>INDEX(Calculation!X15:X$34,Calculation!$D$5)</f>
        <v>6.0070081762055728E-2</v>
      </c>
      <c r="I13" s="60">
        <f>H13</f>
        <v>6.0070081762055728E-2</v>
      </c>
      <c r="J13" s="57"/>
      <c r="K13" s="59">
        <f>INDEX(Calculation!AA15:AA$34,Calculation!$D$5)</f>
        <v>0.20436018957345972</v>
      </c>
      <c r="L13" s="61" t="str">
        <f>IF(K13="","",IF(K13&gt;=0.05,"▲",IF(K13&lt;-0.05,"▼","")))</f>
        <v>▲</v>
      </c>
      <c r="M13" s="57"/>
      <c r="N13" s="58">
        <f>INDEX(Calculation!P15:P$34,Calculation!$D$5)</f>
        <v>762</v>
      </c>
      <c r="O13" s="57"/>
      <c r="P13" s="59">
        <f>INDEX(Calculation!Y15:Y$34,Calculation!$D$5)</f>
        <v>0.13056379821958458</v>
      </c>
      <c r="Q13" s="60">
        <f>P13</f>
        <v>0.13056379821958458</v>
      </c>
      <c r="R13" s="57"/>
      <c r="S13" s="59">
        <f>INDEX(Calculation!AB15:AB$34,Calculation!$D$5)</f>
        <v>0.34154929577464788</v>
      </c>
      <c r="T13" s="61" t="str">
        <f>IF(S13="","",IF(S13&gt;=0.05,"▲",IF(S13&lt;-0.05,"▼","")))</f>
        <v>▲</v>
      </c>
      <c r="U13" s="57"/>
      <c r="V13" s="58">
        <f>INDEX(Calculation!Q15:Q$34,Calculation!$D$5)</f>
        <v>7332</v>
      </c>
      <c r="W13" s="57"/>
      <c r="X13" s="59">
        <f>INDEX(Calculation!Z15:Z$34,Calculation!$D$5)</f>
        <v>2.3022185014650483E-2</v>
      </c>
      <c r="Y13" s="60">
        <f>X13</f>
        <v>2.3022185014650483E-2</v>
      </c>
      <c r="Z13" s="57"/>
      <c r="AA13" s="59">
        <f>INDEX(Calculation!AC15:AC$34,Calculation!$D$5)</f>
        <v>1.4528850145288501E-2</v>
      </c>
      <c r="AB13" s="61" t="str">
        <f>IF(AA13="","",IF(AA13&gt;=0.05,"▲",IF(AA13&lt;-0.05,"▼","")))</f>
        <v/>
      </c>
      <c r="AC13" s="47"/>
      <c r="AD13" s="43"/>
    </row>
    <row r="14" spans="2:30" x14ac:dyDescent="0.15">
      <c r="B14" s="43"/>
      <c r="C14" s="43"/>
      <c r="D14" s="46">
        <f>INDEX(Calculation!M16:M$34,Calculation!$D$5)</f>
        <v>2</v>
      </c>
      <c r="E14" s="47" t="str">
        <f>INDEX(Calculation!N16:N$34,Calculation!$D$5)</f>
        <v>Infic</v>
      </c>
      <c r="F14" s="48">
        <f>INDEX(Calculation!O16:O$34,Calculation!$D$5)</f>
        <v>12373</v>
      </c>
      <c r="G14" s="47"/>
      <c r="H14" s="49">
        <f>INDEX(Calculation!X16:X$34,Calculation!$D$5)</f>
        <v>-2.0164542668172285E-3</v>
      </c>
      <c r="I14" s="50">
        <f t="shared" ref="I14:I22" si="0">H14</f>
        <v>-2.0164542668172285E-3</v>
      </c>
      <c r="J14" s="47"/>
      <c r="K14" s="49">
        <f>INDEX(Calculation!AA16:AA$34,Calculation!$D$5)</f>
        <v>0.18153170359052712</v>
      </c>
      <c r="L14" s="52" t="str">
        <f t="shared" ref="L14:L22" si="1">IF(K14="","",IF(K14&gt;=0.05,"▲",IF(K14&lt;-0.05,"▼","")))</f>
        <v>▲</v>
      </c>
      <c r="M14" s="47"/>
      <c r="N14" s="48">
        <f>INDEX(Calculation!P16:P$34,Calculation!$D$5)</f>
        <v>408</v>
      </c>
      <c r="O14" s="47"/>
      <c r="P14" s="49">
        <f>INDEX(Calculation!Y16:Y$34,Calculation!$D$5)</f>
        <v>0.19648093841642228</v>
      </c>
      <c r="Q14" s="50">
        <f t="shared" ref="Q14:Q22" si="2">P14</f>
        <v>0.19648093841642228</v>
      </c>
      <c r="R14" s="47"/>
      <c r="S14" s="49">
        <f>INDEX(Calculation!AB16:AB$34,Calculation!$D$5)</f>
        <v>-0.11496746203904555</v>
      </c>
      <c r="T14" s="52" t="str">
        <f t="shared" ref="T14:T22" si="3">IF(S14="","",IF(S14&gt;=0.05,"▲",IF(S14&lt;-0.05,"▼","")))</f>
        <v>▼</v>
      </c>
      <c r="U14" s="47"/>
      <c r="V14" s="48">
        <f>INDEX(Calculation!Q16:Q$34,Calculation!$D$5)</f>
        <v>3054</v>
      </c>
      <c r="W14" s="47"/>
      <c r="X14" s="49">
        <f>INDEX(Calculation!Z16:Z$34,Calculation!$D$5)</f>
        <v>6.923837784371909E-3</v>
      </c>
      <c r="Y14" s="50">
        <f t="shared" ref="Y14:Y22" si="4">X14</f>
        <v>6.923837784371909E-3</v>
      </c>
      <c r="Z14" s="47"/>
      <c r="AA14" s="49">
        <f>INDEX(Calculation!AC16:AC$34,Calculation!$D$5)</f>
        <v>4.9484536082474224E-2</v>
      </c>
      <c r="AB14" s="52" t="str">
        <f t="shared" ref="AB14:AB22" si="5">IF(AA14="","",IF(AA14&gt;=0.05,"▲",IF(AA14&lt;-0.05,"▼","")))</f>
        <v/>
      </c>
      <c r="AC14" s="47"/>
      <c r="AD14" s="43"/>
    </row>
    <row r="15" spans="2:30" x14ac:dyDescent="0.15">
      <c r="B15" s="43"/>
      <c r="C15" s="43"/>
      <c r="D15" s="56">
        <f>INDEX(Calculation!M17:M$34,Calculation!$D$5)</f>
        <v>3</v>
      </c>
      <c r="E15" s="57" t="str">
        <f>INDEX(Calculation!N17:N$34,Calculation!$D$5)</f>
        <v>Accord</v>
      </c>
      <c r="F15" s="58">
        <f>INDEX(Calculation!O17:O$34,Calculation!$D$5)</f>
        <v>17760</v>
      </c>
      <c r="G15" s="57"/>
      <c r="H15" s="59">
        <f>INDEX(Calculation!X17:X$34,Calculation!$D$5)</f>
        <v>4.3171806167400878E-2</v>
      </c>
      <c r="I15" s="60">
        <f t="shared" si="0"/>
        <v>4.3171806167400878E-2</v>
      </c>
      <c r="J15" s="57"/>
      <c r="K15" s="59">
        <f>INDEX(Calculation!AA17:AA$34,Calculation!$D$5)</f>
        <v>5.3755784976860094E-2</v>
      </c>
      <c r="L15" s="61" t="str">
        <f t="shared" si="1"/>
        <v>▲</v>
      </c>
      <c r="M15" s="57"/>
      <c r="N15" s="58">
        <f>INDEX(Calculation!P17:P$34,Calculation!$D$5)</f>
        <v>800</v>
      </c>
      <c r="O15" s="57"/>
      <c r="P15" s="59">
        <f>INDEX(Calculation!Y17:Y$34,Calculation!$D$5)</f>
        <v>0.40845070422535212</v>
      </c>
      <c r="Q15" s="60">
        <f t="shared" si="2"/>
        <v>0.40845070422535212</v>
      </c>
      <c r="R15" s="57"/>
      <c r="S15" s="59">
        <f>INDEX(Calculation!AB17:AB$34,Calculation!$D$5)</f>
        <v>0.39860139860139859</v>
      </c>
      <c r="T15" s="61" t="str">
        <f t="shared" si="3"/>
        <v>▲</v>
      </c>
      <c r="U15" s="57"/>
      <c r="V15" s="58">
        <f>INDEX(Calculation!Q17:Q$34,Calculation!$D$5)</f>
        <v>6488</v>
      </c>
      <c r="W15" s="57"/>
      <c r="X15" s="59">
        <f>INDEX(Calculation!Z17:Z$34,Calculation!$D$5)</f>
        <v>-0.13134288392020352</v>
      </c>
      <c r="Y15" s="60">
        <f t="shared" si="4"/>
        <v>-0.13134288392020352</v>
      </c>
      <c r="Z15" s="57"/>
      <c r="AA15" s="59">
        <f>INDEX(Calculation!AC17:AC$34,Calculation!$D$5)</f>
        <v>-1.8605354711843897E-2</v>
      </c>
      <c r="AB15" s="61" t="str">
        <f t="shared" si="5"/>
        <v/>
      </c>
      <c r="AC15" s="47"/>
      <c r="AD15" s="43"/>
    </row>
    <row r="16" spans="2:30" x14ac:dyDescent="0.15">
      <c r="B16" s="43"/>
      <c r="C16" s="43"/>
      <c r="D16" s="46">
        <f>INDEX(Calculation!M18:M$34,Calculation!$D$5)</f>
        <v>4</v>
      </c>
      <c r="E16" s="47" t="str">
        <f>INDEX(Calculation!N18:N$34,Calculation!$D$5)</f>
        <v>Misty Wash</v>
      </c>
      <c r="F16" s="48">
        <f>INDEX(Calculation!O18:O$34,Calculation!$D$5)</f>
        <v>30399.599999999999</v>
      </c>
      <c r="G16" s="47"/>
      <c r="H16" s="49">
        <f>INDEX(Calculation!X18:X$34,Calculation!$D$5)</f>
        <v>2.9392244240068269E-2</v>
      </c>
      <c r="I16" s="50">
        <f t="shared" si="0"/>
        <v>2.9392244240068269E-2</v>
      </c>
      <c r="J16" s="47"/>
      <c r="K16" s="49">
        <f>INDEX(Calculation!AA18:AA$34,Calculation!$D$5)</f>
        <v>5.3708676729327274E-3</v>
      </c>
      <c r="L16" s="52" t="str">
        <f t="shared" si="1"/>
        <v/>
      </c>
      <c r="M16" s="47"/>
      <c r="N16" s="48">
        <f>INDEX(Calculation!P18:P$34,Calculation!$D$5)</f>
        <v>786.8</v>
      </c>
      <c r="O16" s="47"/>
      <c r="P16" s="49">
        <f>INDEX(Calculation!Y18:Y$34,Calculation!$D$5)</f>
        <v>0</v>
      </c>
      <c r="Q16" s="50">
        <f t="shared" si="2"/>
        <v>0</v>
      </c>
      <c r="R16" s="47"/>
      <c r="S16" s="49">
        <f>INDEX(Calculation!AB18:AB$34,Calculation!$D$5)</f>
        <v>-0.15615615615615619</v>
      </c>
      <c r="T16" s="52" t="str">
        <f t="shared" si="3"/>
        <v>▼</v>
      </c>
      <c r="U16" s="47"/>
      <c r="V16" s="48">
        <f>INDEX(Calculation!Q18:Q$34,Calculation!$D$5)</f>
        <v>12308.8</v>
      </c>
      <c r="W16" s="47"/>
      <c r="X16" s="49">
        <f>INDEX(Calculation!Z18:Z$34,Calculation!$D$5)</f>
        <v>-0.11709178549909618</v>
      </c>
      <c r="Y16" s="50">
        <f t="shared" si="4"/>
        <v>-0.11709178549909618</v>
      </c>
      <c r="Z16" s="47"/>
      <c r="AA16" s="49">
        <f>INDEX(Calculation!AC18:AC$34,Calculation!$D$5)</f>
        <v>-8.014228918183719E-2</v>
      </c>
      <c r="AB16" s="52" t="str">
        <f t="shared" si="5"/>
        <v>▼</v>
      </c>
      <c r="AC16" s="47"/>
      <c r="AD16" s="43"/>
    </row>
    <row r="17" spans="2:30" x14ac:dyDescent="0.15">
      <c r="B17" s="43"/>
      <c r="C17" s="43"/>
      <c r="D17" s="56">
        <f>INDEX(Calculation!M19:M$34,Calculation!$D$5)</f>
        <v>5</v>
      </c>
      <c r="E17" s="57" t="str">
        <f>INDEX(Calculation!N19:N$34,Calculation!$D$5)</f>
        <v>Twenty20</v>
      </c>
      <c r="F17" s="58">
        <f>INDEX(Calculation!O19:O$34,Calculation!$D$5)</f>
        <v>20400</v>
      </c>
      <c r="G17" s="57"/>
      <c r="H17" s="59">
        <f>INDEX(Calculation!X19:X$34,Calculation!$D$5)</f>
        <v>-8.2073434125269976E-2</v>
      </c>
      <c r="I17" s="60">
        <f t="shared" si="0"/>
        <v>-8.2073434125269976E-2</v>
      </c>
      <c r="J17" s="57"/>
      <c r="K17" s="59">
        <f>INDEX(Calculation!AA19:AA$34,Calculation!$D$5)</f>
        <v>0.10408728784205061</v>
      </c>
      <c r="L17" s="61" t="str">
        <f t="shared" si="1"/>
        <v>▲</v>
      </c>
      <c r="M17" s="57"/>
      <c r="N17" s="58">
        <f>INDEX(Calculation!P19:P$34,Calculation!$D$5)</f>
        <v>614.40000000000009</v>
      </c>
      <c r="O17" s="57"/>
      <c r="P17" s="59">
        <f>INDEX(Calculation!Y19:Y$34,Calculation!$D$5)</f>
        <v>-0.37864077669902907</v>
      </c>
      <c r="Q17" s="60">
        <f t="shared" si="2"/>
        <v>-0.37864077669902907</v>
      </c>
      <c r="R17" s="57"/>
      <c r="S17" s="59">
        <f>INDEX(Calculation!AB19:AB$34,Calculation!$D$5)</f>
        <v>-0.45142857142857135</v>
      </c>
      <c r="T17" s="61" t="str">
        <f t="shared" si="3"/>
        <v>▼</v>
      </c>
      <c r="U17" s="57"/>
      <c r="V17" s="58">
        <f>INDEX(Calculation!Q19:Q$34,Calculation!$D$5)</f>
        <v>15171.2</v>
      </c>
      <c r="W17" s="57"/>
      <c r="X17" s="59">
        <f>INDEX(Calculation!Z19:Z$34,Calculation!$D$5)</f>
        <v>-5.2936476228525764E-2</v>
      </c>
      <c r="Y17" s="60">
        <f t="shared" si="4"/>
        <v>-5.2936476228525764E-2</v>
      </c>
      <c r="Z17" s="57"/>
      <c r="AA17" s="59">
        <f>INDEX(Calculation!AC19:AC$34,Calculation!$D$5)</f>
        <v>6.6111985608275178E-2</v>
      </c>
      <c r="AB17" s="61" t="str">
        <f t="shared" si="5"/>
        <v>▲</v>
      </c>
      <c r="AC17" s="47"/>
      <c r="AD17" s="43"/>
    </row>
    <row r="18" spans="2:30" x14ac:dyDescent="0.15">
      <c r="B18" s="43"/>
      <c r="C18" s="43"/>
      <c r="D18" s="46">
        <f>INDEX(Calculation!M20:M$34,Calculation!$D$5)</f>
        <v>6</v>
      </c>
      <c r="E18" s="47" t="str">
        <f>INDEX(Calculation!N20:N$34,Calculation!$D$5)</f>
        <v>Tanox</v>
      </c>
      <c r="F18" s="48">
        <f>INDEX(Calculation!O20:O$34,Calculation!$D$5)</f>
        <v>21088</v>
      </c>
      <c r="G18" s="47"/>
      <c r="H18" s="49">
        <f>INDEX(Calculation!X20:X$34,Calculation!$D$5)</f>
        <v>6.8504256181597084E-2</v>
      </c>
      <c r="I18" s="50">
        <f t="shared" si="0"/>
        <v>6.8504256181597084E-2</v>
      </c>
      <c r="J18" s="47"/>
      <c r="K18" s="49">
        <f>INDEX(Calculation!AA20:AA$34,Calculation!$D$5)</f>
        <v>0.10085612862810607</v>
      </c>
      <c r="L18" s="52" t="str">
        <f t="shared" si="1"/>
        <v>▲</v>
      </c>
      <c r="M18" s="47"/>
      <c r="N18" s="48">
        <f>INDEX(Calculation!P20:P$34,Calculation!$D$5)</f>
        <v>1264</v>
      </c>
      <c r="O18" s="47"/>
      <c r="P18" s="49">
        <f>INDEX(Calculation!Y20:Y$34,Calculation!$D$5)</f>
        <v>0.35622317596566522</v>
      </c>
      <c r="Q18" s="50">
        <f t="shared" si="2"/>
        <v>0.35622317596566522</v>
      </c>
      <c r="R18" s="47"/>
      <c r="S18" s="49">
        <f>INDEX(Calculation!AB20:AB$34,Calculation!$D$5)</f>
        <v>0.4697674418604651</v>
      </c>
      <c r="T18" s="52" t="str">
        <f t="shared" si="3"/>
        <v>▲</v>
      </c>
      <c r="U18" s="47"/>
      <c r="V18" s="48">
        <f>INDEX(Calculation!Q20:Q$34,Calculation!$D$5)</f>
        <v>4828</v>
      </c>
      <c r="W18" s="47"/>
      <c r="X18" s="49">
        <f>INDEX(Calculation!Z20:Z$34,Calculation!$D$5)</f>
        <v>-0.18720538720538721</v>
      </c>
      <c r="Y18" s="50">
        <f t="shared" si="4"/>
        <v>-0.18720538720538721</v>
      </c>
      <c r="Z18" s="47"/>
      <c r="AA18" s="49">
        <f>INDEX(Calculation!AC20:AC$34,Calculation!$D$5)</f>
        <v>-0.37654958677685951</v>
      </c>
      <c r="AB18" s="52" t="str">
        <f t="shared" si="5"/>
        <v>▼</v>
      </c>
      <c r="AC18" s="47"/>
      <c r="AD18" s="43"/>
    </row>
    <row r="19" spans="2:30" x14ac:dyDescent="0.15">
      <c r="B19" s="43"/>
      <c r="C19" s="43"/>
      <c r="D19" s="56">
        <f>INDEX(Calculation!M21:M$34,Calculation!$D$5)</f>
        <v>7</v>
      </c>
      <c r="E19" s="57" t="str">
        <f>INDEX(Calculation!N21:N$34,Calculation!$D$5)</f>
        <v>Minor Liar</v>
      </c>
      <c r="F19" s="58">
        <f>INDEX(Calculation!O21:O$34,Calculation!$D$5)</f>
        <v>23736.9</v>
      </c>
      <c r="G19" s="57"/>
      <c r="H19" s="59">
        <f>INDEX(Calculation!X21:X$34,Calculation!$D$5)</f>
        <v>4.3169293241806017E-2</v>
      </c>
      <c r="I19" s="60">
        <f t="shared" si="0"/>
        <v>4.3169293241806017E-2</v>
      </c>
      <c r="J19" s="57"/>
      <c r="K19" s="59">
        <f>INDEX(Calculation!AA21:AA$34,Calculation!$D$5)</f>
        <v>5.3765016114854895E-2</v>
      </c>
      <c r="L19" s="61" t="str">
        <f t="shared" si="1"/>
        <v>▲</v>
      </c>
      <c r="M19" s="57"/>
      <c r="N19" s="58">
        <f>INDEX(Calculation!P21:P$34,Calculation!$D$5)</f>
        <v>1012.0000000000001</v>
      </c>
      <c r="O19" s="57"/>
      <c r="P19" s="59">
        <f>INDEX(Calculation!Y21:Y$34,Calculation!$D$5)</f>
        <v>0.40888208269525272</v>
      </c>
      <c r="Q19" s="60">
        <f t="shared" si="2"/>
        <v>0.40888208269525272</v>
      </c>
      <c r="R19" s="57"/>
      <c r="S19" s="59">
        <f>INDEX(Calculation!AB21:AB$34,Calculation!$D$5)</f>
        <v>0.3981762917933131</v>
      </c>
      <c r="T19" s="61" t="str">
        <f t="shared" si="3"/>
        <v>▲</v>
      </c>
      <c r="U19" s="57"/>
      <c r="V19" s="58">
        <f>INDEX(Calculation!Q21:Q$34,Calculation!$D$5)</f>
        <v>8207.1</v>
      </c>
      <c r="W19" s="57"/>
      <c r="X19" s="59">
        <f>INDEX(Calculation!Z21:Z$34,Calculation!$D$5)</f>
        <v>-0.13133077191756909</v>
      </c>
      <c r="Y19" s="60">
        <f t="shared" si="4"/>
        <v>-0.13133077191756909</v>
      </c>
      <c r="Z19" s="57"/>
      <c r="AA19" s="59">
        <f>INDEX(Calculation!AC21:AC$34,Calculation!$D$5)</f>
        <v>-1.8547750591949529E-2</v>
      </c>
      <c r="AB19" s="61" t="str">
        <f t="shared" si="5"/>
        <v/>
      </c>
      <c r="AC19" s="47"/>
      <c r="AD19" s="43"/>
    </row>
    <row r="20" spans="2:30" x14ac:dyDescent="0.15">
      <c r="B20" s="43"/>
      <c r="C20" s="43"/>
      <c r="D20" s="46">
        <f>INDEX(Calculation!M22:M$34,Calculation!$D$5)</f>
        <v>8</v>
      </c>
      <c r="E20" s="47" t="str">
        <f>INDEX(Calculation!N22:N$34,Calculation!$D$5)</f>
        <v>Mosquit</v>
      </c>
      <c r="F20" s="48">
        <f>INDEX(Calculation!O22:O$34,Calculation!$D$5)</f>
        <v>6302</v>
      </c>
      <c r="G20" s="47"/>
      <c r="H20" s="49">
        <f>INDEX(Calculation!X22:X$34,Calculation!$D$5)</f>
        <v>0.16703703703703704</v>
      </c>
      <c r="I20" s="50">
        <f t="shared" si="0"/>
        <v>0.16703703703703704</v>
      </c>
      <c r="J20" s="47"/>
      <c r="K20" s="49">
        <f>INDEX(Calculation!AA22:AA$34,Calculation!$D$5)</f>
        <v>0.19062913281692803</v>
      </c>
      <c r="L20" s="52" t="str">
        <f t="shared" si="1"/>
        <v>▲</v>
      </c>
      <c r="M20" s="47"/>
      <c r="N20" s="48">
        <f>INDEX(Calculation!P22:P$34,Calculation!$D$5)</f>
        <v>240</v>
      </c>
      <c r="O20" s="47"/>
      <c r="P20" s="49">
        <f>INDEX(Calculation!Y22:Y$34,Calculation!$D$5)</f>
        <v>0.26315789473684209</v>
      </c>
      <c r="Q20" s="50">
        <f t="shared" si="2"/>
        <v>0.26315789473684209</v>
      </c>
      <c r="R20" s="47"/>
      <c r="S20" s="49">
        <f>INDEX(Calculation!AB22:AB$34,Calculation!$D$5)</f>
        <v>0.53846153846153844</v>
      </c>
      <c r="T20" s="52" t="str">
        <f t="shared" si="3"/>
        <v>▲</v>
      </c>
      <c r="U20" s="47"/>
      <c r="V20" s="48">
        <f>INDEX(Calculation!Q22:Q$34,Calculation!$D$5)</f>
        <v>4655</v>
      </c>
      <c r="W20" s="47"/>
      <c r="X20" s="49">
        <f>INDEX(Calculation!Z22:Z$34,Calculation!$D$5)</f>
        <v>0.136474609375</v>
      </c>
      <c r="Y20" s="50">
        <f t="shared" si="4"/>
        <v>0.136474609375</v>
      </c>
      <c r="Z20" s="47"/>
      <c r="AA20" s="49">
        <f>INDEX(Calculation!AC22:AC$34,Calculation!$D$5)</f>
        <v>3.1236154186973859E-2</v>
      </c>
      <c r="AB20" s="52" t="str">
        <f t="shared" si="5"/>
        <v/>
      </c>
      <c r="AC20" s="47"/>
      <c r="AD20" s="43"/>
    </row>
    <row r="21" spans="2:30" x14ac:dyDescent="0.15">
      <c r="B21" s="43"/>
      <c r="C21" s="43"/>
      <c r="D21" s="56">
        <f>INDEX(Calculation!M23:M$34,Calculation!$D$5)</f>
        <v>9</v>
      </c>
      <c r="E21" s="57" t="str">
        <f>INDEX(Calculation!N23:N$34,Calculation!$D$5)</f>
        <v>Atmos</v>
      </c>
      <c r="F21" s="58">
        <f>INDEX(Calculation!O23:O$34,Calculation!$D$5)</f>
        <v>10675</v>
      </c>
      <c r="G21" s="57"/>
      <c r="H21" s="59">
        <f>INDEX(Calculation!X23:X$34,Calculation!$D$5)</f>
        <v>5.34886015987368E-2</v>
      </c>
      <c r="I21" s="60">
        <f t="shared" si="0"/>
        <v>5.34886015987368E-2</v>
      </c>
      <c r="J21" s="57"/>
      <c r="K21" s="59">
        <f>INDEX(Calculation!AA23:AA$34,Calculation!$D$5)</f>
        <v>-4.4999105385578816E-2</v>
      </c>
      <c r="L21" s="61" t="str">
        <f t="shared" si="1"/>
        <v/>
      </c>
      <c r="M21" s="57"/>
      <c r="N21" s="58">
        <f>INDEX(Calculation!P23:P$34,Calculation!$D$5)</f>
        <v>128</v>
      </c>
      <c r="O21" s="57"/>
      <c r="P21" s="59">
        <f>INDEX(Calculation!Y23:Y$34,Calculation!$D$5)</f>
        <v>0.43820224719101125</v>
      </c>
      <c r="Q21" s="60">
        <f t="shared" si="2"/>
        <v>0.43820224719101125</v>
      </c>
      <c r="R21" s="57"/>
      <c r="S21" s="59">
        <f>INDEX(Calculation!AB23:AB$34,Calculation!$D$5)</f>
        <v>-0.32631578947368423</v>
      </c>
      <c r="T21" s="61" t="str">
        <f t="shared" si="3"/>
        <v>▼</v>
      </c>
      <c r="U21" s="57"/>
      <c r="V21" s="58">
        <f>INDEX(Calculation!Q23:Q$34,Calculation!$D$5)</f>
        <v>8210</v>
      </c>
      <c r="W21" s="57"/>
      <c r="X21" s="59">
        <f>INDEX(Calculation!Z23:Z$34,Calculation!$D$5)</f>
        <v>3.7901944002934345E-3</v>
      </c>
      <c r="Y21" s="60">
        <f t="shared" si="4"/>
        <v>3.7901944002934345E-3</v>
      </c>
      <c r="Z21" s="57"/>
      <c r="AA21" s="59">
        <f>INDEX(Calculation!AC23:AC$34,Calculation!$D$5)</f>
        <v>2.4968789013732832E-2</v>
      </c>
      <c r="AB21" s="61" t="str">
        <f t="shared" si="5"/>
        <v/>
      </c>
      <c r="AC21" s="47"/>
      <c r="AD21" s="43"/>
    </row>
    <row r="22" spans="2:30" ht="14.25" customHeight="1" x14ac:dyDescent="0.15">
      <c r="B22" s="43"/>
      <c r="C22" s="43"/>
      <c r="D22" s="46">
        <f>INDEX(Calculation!M24:M$34,Calculation!$D$5)</f>
        <v>10</v>
      </c>
      <c r="E22" s="47" t="str">
        <f>INDEX(Calculation!N24:N$34,Calculation!$D$5)</f>
        <v>Scrap</v>
      </c>
      <c r="F22" s="48">
        <f>INDEX(Calculation!O24:O$34,Calculation!$D$5)</f>
        <v>13307</v>
      </c>
      <c r="G22" s="47"/>
      <c r="H22" s="49">
        <f>INDEX(Calculation!X24:X$34,Calculation!$D$5)</f>
        <v>9.730353756081471E-2</v>
      </c>
      <c r="I22" s="50">
        <f t="shared" si="0"/>
        <v>9.730353756081471E-2</v>
      </c>
      <c r="J22" s="47"/>
      <c r="K22" s="49">
        <f>INDEX(Calculation!AA24:AA$34,Calculation!$D$5)</f>
        <v>-1.0484830458060678E-2</v>
      </c>
      <c r="L22" s="52" t="str">
        <f t="shared" si="1"/>
        <v/>
      </c>
      <c r="M22" s="47"/>
      <c r="N22" s="48">
        <f>INDEX(Calculation!P24:P$34,Calculation!$D$5)</f>
        <v>862</v>
      </c>
      <c r="O22" s="47"/>
      <c r="P22" s="49">
        <f>INDEX(Calculation!Y24:Y$34,Calculation!$D$5)</f>
        <v>0.16172506738544473</v>
      </c>
      <c r="Q22" s="50">
        <f t="shared" si="2"/>
        <v>0.16172506738544473</v>
      </c>
      <c r="R22" s="47"/>
      <c r="S22" s="49">
        <f>INDEX(Calculation!AB24:AB$34,Calculation!$D$5)</f>
        <v>-4.7513812154696133E-2</v>
      </c>
      <c r="T22" s="52" t="str">
        <f t="shared" si="3"/>
        <v/>
      </c>
      <c r="U22" s="47"/>
      <c r="V22" s="48">
        <f>INDEX(Calculation!Q24:Q$34,Calculation!$D$5)</f>
        <v>5279</v>
      </c>
      <c r="W22" s="47"/>
      <c r="X22" s="49">
        <f>INDEX(Calculation!Z24:Z$34,Calculation!$D$5)</f>
        <v>-3.8608632307412127E-2</v>
      </c>
      <c r="Y22" s="50">
        <f t="shared" si="4"/>
        <v>-3.8608632307412127E-2</v>
      </c>
      <c r="Z22" s="47"/>
      <c r="AA22" s="49">
        <f>INDEX(Calculation!AC24:AC$34,Calculation!$D$5)</f>
        <v>-0.12916529198284393</v>
      </c>
      <c r="AB22" s="52" t="str">
        <f t="shared" si="5"/>
        <v>▼</v>
      </c>
      <c r="AC22" s="47"/>
      <c r="AD22" s="43"/>
    </row>
    <row r="23" spans="2:30" ht="6.5" customHeight="1" x14ac:dyDescent="0.1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2:30" x14ac:dyDescent="0.15">
      <c r="B24" s="43"/>
      <c r="C24" s="43"/>
      <c r="D24" s="66"/>
      <c r="E24" s="67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43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43"/>
    </row>
    <row r="25" spans="2:30" x14ac:dyDescent="0.15">
      <c r="B25" s="43"/>
      <c r="C25" s="43"/>
      <c r="D25" s="66"/>
      <c r="E25" s="67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43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43"/>
    </row>
    <row r="26" spans="2:30" x14ac:dyDescent="0.15">
      <c r="B26" s="43"/>
      <c r="C26" s="43"/>
      <c r="D26" s="66"/>
      <c r="E26" s="67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43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43"/>
    </row>
    <row r="27" spans="2:30" x14ac:dyDescent="0.15">
      <c r="B27" s="43"/>
      <c r="C27" s="43"/>
      <c r="D27" s="66"/>
      <c r="E27" s="67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43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43"/>
    </row>
    <row r="28" spans="2:30" x14ac:dyDescent="0.15">
      <c r="B28" s="43"/>
      <c r="C28" s="43"/>
      <c r="D28" s="66"/>
      <c r="E28" s="67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43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43"/>
    </row>
    <row r="29" spans="2:30" x14ac:dyDescent="0.15">
      <c r="B29" s="43"/>
      <c r="C29" s="43"/>
      <c r="D29" s="66"/>
      <c r="E29" s="67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43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43"/>
    </row>
    <row r="30" spans="2:30" x14ac:dyDescent="0.15">
      <c r="B30" s="43"/>
      <c r="C30" s="43"/>
      <c r="D30" s="66"/>
      <c r="E30" s="67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43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43"/>
    </row>
    <row r="31" spans="2:30" x14ac:dyDescent="0.15">
      <c r="B31" s="43"/>
      <c r="C31" s="43"/>
      <c r="D31" s="66"/>
      <c r="E31" s="67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43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43"/>
    </row>
    <row r="32" spans="2:30" x14ac:dyDescent="0.15">
      <c r="B32" s="43"/>
      <c r="C32" s="43"/>
      <c r="D32" s="66"/>
      <c r="E32" s="67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43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43"/>
    </row>
    <row r="33" spans="2:30" x14ac:dyDescent="0.15">
      <c r="B33" s="43"/>
      <c r="C33" s="43"/>
      <c r="D33" s="66"/>
      <c r="E33" s="67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43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43"/>
    </row>
    <row r="34" spans="2:30" x14ac:dyDescent="0.15">
      <c r="B34" s="43"/>
      <c r="C34" s="43"/>
      <c r="D34" s="66"/>
      <c r="E34" s="67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43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43"/>
    </row>
    <row r="35" spans="2:30" x14ac:dyDescent="0.15">
      <c r="B35" s="43"/>
      <c r="C35" s="43"/>
      <c r="D35" s="66"/>
      <c r="E35" s="67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43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43"/>
    </row>
    <row r="36" spans="2:30" x14ac:dyDescent="0.15">
      <c r="B36" s="43"/>
      <c r="C36" s="43"/>
      <c r="D36" s="66"/>
      <c r="E36" s="67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43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43"/>
    </row>
    <row r="37" spans="2:30" x14ac:dyDescent="0.15">
      <c r="B37" s="43"/>
      <c r="C37" s="43"/>
      <c r="D37" s="66"/>
      <c r="E37" s="67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43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43"/>
    </row>
    <row r="38" spans="2:30" x14ac:dyDescent="0.15">
      <c r="B38" s="43"/>
      <c r="C38" s="43"/>
      <c r="D38" s="66"/>
      <c r="E38" s="67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43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43"/>
    </row>
    <row r="39" spans="2:30" x14ac:dyDescent="0.15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</sheetData>
  <sheetProtection sheet="1" objects="1" scenarios="1"/>
  <conditionalFormatting sqref="L13:L22">
    <cfRule type="cellIs" dxfId="5" priority="1" operator="equal">
      <formula>"▲"</formula>
    </cfRule>
    <cfRule type="cellIs" dxfId="4" priority="2" operator="equal">
      <formula>"▼"</formula>
    </cfRule>
  </conditionalFormatting>
  <conditionalFormatting sqref="T13:T22">
    <cfRule type="cellIs" dxfId="3" priority="5" operator="equal">
      <formula>"▲"</formula>
    </cfRule>
    <cfRule type="cellIs" dxfId="2" priority="7" operator="equal">
      <formula>"▼"</formula>
    </cfRule>
  </conditionalFormatting>
  <conditionalFormatting sqref="AB13:AB22">
    <cfRule type="cellIs" dxfId="1" priority="3" operator="equal">
      <formula>"▲"</formula>
    </cfRule>
    <cfRule type="cellIs" dxfId="0" priority="4" operator="equal">
      <formula>"▼"</formula>
    </cfRule>
  </conditionalFormatting>
  <dataValidations count="1">
    <dataValidation type="textLength" operator="equal" allowBlank="1" showInputMessage="1" showErrorMessage="1" errorTitle="Year Incorrect" error="Please input year as YYYY (4 digits). Thanks." promptTitle="Year" prompt="Please input year as YYYY" sqref="F5" xr:uid="{00000000-0002-0000-0000-000000000000}">
      <formula1>4</formula1>
    </dataValidation>
  </dataValidations>
  <pageMargins left="0.25" right="0.25" top="0.75" bottom="0.75" header="0.3" footer="0.3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5</xdr:col>
                    <xdr:colOff>25400</xdr:colOff>
                    <xdr:row>6</xdr:row>
                    <xdr:rowOff>25400</xdr:rowOff>
                  </from>
                  <to>
                    <xdr:col>8</xdr:col>
                    <xdr:colOff>50800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Scroll Bar 3">
              <controlPr defaultSize="0" autoPict="0">
                <anchor moveWithCells="1">
                  <from>
                    <xdr:col>28</xdr:col>
                    <xdr:colOff>203200</xdr:colOff>
                    <xdr:row>12</xdr:row>
                    <xdr:rowOff>25400</xdr:rowOff>
                  </from>
                  <to>
                    <xdr:col>28</xdr:col>
                    <xdr:colOff>393700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List Box 4">
              <controlPr defaultSize="0" autoLine="0" autoPict="0">
                <anchor moveWithCells="1">
                  <from>
                    <xdr:col>3</xdr:col>
                    <xdr:colOff>101600</xdr:colOff>
                    <xdr:row>24</xdr:row>
                    <xdr:rowOff>165100</xdr:rowOff>
                  </from>
                  <to>
                    <xdr:col>4</xdr:col>
                    <xdr:colOff>787400</xdr:colOff>
                    <xdr:row>28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Option Button 5">
              <controlPr defaultSize="0" autoFill="0" autoLine="0" autoPict="0">
                <anchor moveWithCells="1">
                  <from>
                    <xdr:col>3</xdr:col>
                    <xdr:colOff>101600</xdr:colOff>
                    <xdr:row>30</xdr:row>
                    <xdr:rowOff>12700</xdr:rowOff>
                  </from>
                  <to>
                    <xdr:col>4</xdr:col>
                    <xdr:colOff>457200</xdr:colOff>
                    <xdr:row>31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Option Button 6">
              <controlPr defaultSize="0" autoFill="0" autoLine="0" autoPict="0">
                <anchor moveWithCells="1">
                  <from>
                    <xdr:col>3</xdr:col>
                    <xdr:colOff>101600</xdr:colOff>
                    <xdr:row>31</xdr:row>
                    <xdr:rowOff>25400</xdr:rowOff>
                  </from>
                  <to>
                    <xdr:col>4</xdr:col>
                    <xdr:colOff>457200</xdr:colOff>
                    <xdr:row>32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Scroll Bar 8">
              <controlPr defaultSize="0" autoPict="0">
                <anchor moveWithCells="1">
                  <from>
                    <xdr:col>24</xdr:col>
                    <xdr:colOff>190500</xdr:colOff>
                    <xdr:row>23</xdr:row>
                    <xdr:rowOff>25400</xdr:rowOff>
                  </from>
                  <to>
                    <xdr:col>28</xdr:col>
                    <xdr:colOff>330200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defaultSize="0" autoFill="0" autoLine="0" autoPict="0">
                <anchor moveWithCells="1">
                  <from>
                    <xdr:col>25</xdr:col>
                    <xdr:colOff>50800</xdr:colOff>
                    <xdr:row>24</xdr:row>
                    <xdr:rowOff>88900</xdr:rowOff>
                  </from>
                  <to>
                    <xdr:col>28</xdr:col>
                    <xdr:colOff>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26</xdr:col>
                    <xdr:colOff>406400</xdr:colOff>
                    <xdr:row>24</xdr:row>
                    <xdr:rowOff>88900</xdr:rowOff>
                  </from>
                  <to>
                    <xdr:col>29</xdr:col>
                    <xdr:colOff>63500</xdr:colOff>
                    <xdr:row>25</xdr:row>
                    <xdr:rowOff>165100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1" id="{51B9D8EF-6534-4FF9-96FD-530690E82C89}">
            <x14:dataBar minLength="0" maxLength="100" showValue="0" gradient="0">
              <x14:cfvo type="num">
                <xm:f>Calculation!$Y$39</xm:f>
              </x14:cfvo>
              <x14:cfvo type="num">
                <xm:f>Calculation!$Y$40</xm:f>
              </x14:cfvo>
              <x14:fillColor rgb="FF638EC6"/>
              <x14:negativeFillColor theme="1" tint="0.499984740745262"/>
              <x14:axisColor theme="0"/>
            </x14:dataBar>
          </x14:cfRule>
          <xm:sqref>I13:I22</xm:sqref>
        </x14:conditionalFormatting>
        <x14:conditionalFormatting xmlns:xm="http://schemas.microsoft.com/office/excel/2006/main">
          <x14:cfRule type="dataBar" priority="10" id="{B84434EF-E65E-4354-8930-DE27EA70E76B}">
            <x14:dataBar minLength="0" maxLength="100" showValue="0" gradient="0">
              <x14:cfvo type="num">
                <xm:f>Calculation!$Y$41</xm:f>
              </x14:cfvo>
              <x14:cfvo type="num">
                <xm:f>Calculation!$Y$42</xm:f>
              </x14:cfvo>
              <x14:fillColor rgb="FF638EC6"/>
              <x14:negativeFillColor theme="1" tint="0.499984740745262"/>
              <x14:axisColor theme="0"/>
            </x14:dataBar>
          </x14:cfRule>
          <xm:sqref>Q13:Q22</xm:sqref>
        </x14:conditionalFormatting>
        <x14:conditionalFormatting xmlns:xm="http://schemas.microsoft.com/office/excel/2006/main">
          <x14:cfRule type="dataBar" priority="9" id="{4F0C4E3C-168B-448F-B16E-60C654300055}">
            <x14:dataBar minLength="0" maxLength="100" showValue="0" gradient="0">
              <x14:cfvo type="num">
                <xm:f>Calculation!$Y$43</xm:f>
              </x14:cfvo>
              <x14:cfvo type="num">
                <xm:f>Calculation!$Y$44</xm:f>
              </x14:cfvo>
              <x14:fillColor rgb="FF638EC6"/>
              <x14:negativeFillColor theme="1" tint="0.499984740745262"/>
              <x14:axisColor theme="0"/>
            </x14:dataBar>
          </x14:cfRule>
          <xm:sqref>Y13:Y22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Month" prompt="Please select a month from the drop-down" xr:uid="{00000000-0002-0000-0000-000001000000}">
          <x14:formula1>
            <xm:f>Calculation!$B$15:$B$26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Z44"/>
  <sheetViews>
    <sheetView zoomScale="110" zoomScaleNormal="110" workbookViewId="0"/>
  </sheetViews>
  <sheetFormatPr baseColWidth="10" defaultColWidth="8.83203125" defaultRowHeight="14" x14ac:dyDescent="0.15"/>
  <cols>
    <col min="1" max="1" width="9" customWidth="1"/>
    <col min="3" max="3" width="17.6640625" bestFit="1" customWidth="1"/>
    <col min="7" max="7" width="21.33203125" bestFit="1" customWidth="1"/>
    <col min="8" max="8" width="10.33203125" bestFit="1" customWidth="1"/>
    <col min="9" max="9" width="9.6640625" bestFit="1" customWidth="1"/>
    <col min="10" max="12" width="5" customWidth="1"/>
    <col min="14" max="14" width="14.6640625" bestFit="1" customWidth="1"/>
    <col min="24" max="24" width="12.33203125" customWidth="1"/>
    <col min="33" max="33" width="14.1640625" customWidth="1"/>
    <col min="34" max="34" width="1.33203125" customWidth="1"/>
    <col min="36" max="36" width="11.1640625" customWidth="1"/>
    <col min="37" max="37" width="13.1640625" customWidth="1"/>
    <col min="38" max="38" width="12.5" customWidth="1"/>
    <col min="39" max="39" width="12.6640625" customWidth="1"/>
    <col min="46" max="47" width="2.5" customWidth="1"/>
  </cols>
  <sheetData>
    <row r="2" spans="2:52" x14ac:dyDescent="0.15">
      <c r="B2" s="34" t="s">
        <v>81</v>
      </c>
      <c r="C2" s="33"/>
      <c r="D2" s="33"/>
      <c r="E2" s="33"/>
      <c r="M2" s="34" t="s">
        <v>85</v>
      </c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F2" s="34" t="s">
        <v>109</v>
      </c>
      <c r="AG2" s="33"/>
      <c r="AH2" s="34"/>
      <c r="AI2" s="33"/>
      <c r="AJ2" s="33"/>
      <c r="AK2" s="33"/>
      <c r="AL2" s="33"/>
      <c r="AM2" s="33"/>
      <c r="AP2" s="34" t="s">
        <v>116</v>
      </c>
      <c r="AQ2" s="33"/>
      <c r="AR2" s="34"/>
      <c r="AS2" s="33"/>
      <c r="AV2" s="34" t="s">
        <v>121</v>
      </c>
      <c r="AW2" s="33"/>
      <c r="AX2" s="34"/>
      <c r="AY2" s="33"/>
    </row>
    <row r="4" spans="2:52" x14ac:dyDescent="0.15">
      <c r="C4" t="s">
        <v>80</v>
      </c>
      <c r="D4">
        <v>3</v>
      </c>
    </row>
    <row r="5" spans="2:52" x14ac:dyDescent="0.15">
      <c r="C5" t="s">
        <v>96</v>
      </c>
      <c r="D5">
        <v>1</v>
      </c>
    </row>
    <row r="6" spans="2:52" ht="12.75" customHeight="1" x14ac:dyDescent="0.15">
      <c r="C6" t="s">
        <v>112</v>
      </c>
      <c r="D6">
        <v>1</v>
      </c>
    </row>
    <row r="7" spans="2:52" x14ac:dyDescent="0.15">
      <c r="C7" t="s">
        <v>113</v>
      </c>
      <c r="D7">
        <v>1</v>
      </c>
    </row>
    <row r="8" spans="2:52" x14ac:dyDescent="0.15">
      <c r="C8" t="s">
        <v>117</v>
      </c>
      <c r="D8">
        <v>1</v>
      </c>
      <c r="O8" t="str">
        <f>O9&amp;O10&amp;O11&amp;O12</f>
        <v>2017JunActualRevenue</v>
      </c>
      <c r="P8" t="str">
        <f t="shared" ref="P8:W8" si="0">P9&amp;P10&amp;P11&amp;P12</f>
        <v>2017JunActualProfit</v>
      </c>
      <c r="Q8" t="str">
        <f t="shared" si="0"/>
        <v>2017JunActualCash</v>
      </c>
      <c r="R8" t="str">
        <f t="shared" si="0"/>
        <v>2016JunActualRevenue</v>
      </c>
      <c r="S8" t="str">
        <f t="shared" si="0"/>
        <v>2016JunActualProfit</v>
      </c>
      <c r="T8" t="str">
        <f t="shared" si="0"/>
        <v>2016JunActualCash</v>
      </c>
      <c r="U8" t="str">
        <f t="shared" si="0"/>
        <v>2017JunBudgetRevenue</v>
      </c>
      <c r="V8" t="str">
        <f t="shared" si="0"/>
        <v>2017JunBudgetProfit</v>
      </c>
      <c r="W8" t="str">
        <f t="shared" si="0"/>
        <v>2017JunBudgetCash</v>
      </c>
    </row>
    <row r="9" spans="2:52" x14ac:dyDescent="0.15">
      <c r="C9" t="s">
        <v>118</v>
      </c>
      <c r="D9" t="b">
        <v>1</v>
      </c>
      <c r="O9">
        <f>cur_year</f>
        <v>2017</v>
      </c>
      <c r="P9">
        <f>cur_year</f>
        <v>2017</v>
      </c>
      <c r="Q9">
        <f>cur_year</f>
        <v>2017</v>
      </c>
      <c r="R9">
        <f>cur_year-1</f>
        <v>2016</v>
      </c>
      <c r="S9">
        <f>cur_year-1</f>
        <v>2016</v>
      </c>
      <c r="T9">
        <f>cur_year-1</f>
        <v>2016</v>
      </c>
      <c r="U9">
        <f>cur_year</f>
        <v>2017</v>
      </c>
      <c r="V9">
        <f>cur_year</f>
        <v>2017</v>
      </c>
      <c r="W9">
        <f>cur_year</f>
        <v>2017</v>
      </c>
    </row>
    <row r="10" spans="2:52" x14ac:dyDescent="0.15">
      <c r="C10" t="s">
        <v>119</v>
      </c>
      <c r="D10" t="b">
        <v>1</v>
      </c>
      <c r="O10" t="str">
        <f t="shared" ref="O10:W10" si="1">cur_month</f>
        <v>Jun</v>
      </c>
      <c r="P10" t="str">
        <f t="shared" si="1"/>
        <v>Jun</v>
      </c>
      <c r="Q10" t="str">
        <f t="shared" si="1"/>
        <v>Jun</v>
      </c>
      <c r="R10" t="str">
        <f t="shared" si="1"/>
        <v>Jun</v>
      </c>
      <c r="S10" t="str">
        <f t="shared" si="1"/>
        <v>Jun</v>
      </c>
      <c r="T10" t="str">
        <f t="shared" si="1"/>
        <v>Jun</v>
      </c>
      <c r="U10" t="str">
        <f t="shared" si="1"/>
        <v>Jun</v>
      </c>
      <c r="V10" t="str">
        <f t="shared" si="1"/>
        <v>Jun</v>
      </c>
      <c r="W10" t="str">
        <f t="shared" si="1"/>
        <v>Jun</v>
      </c>
    </row>
    <row r="11" spans="2:52" x14ac:dyDescent="0.15"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14</v>
      </c>
      <c r="V11" t="s">
        <v>14</v>
      </c>
      <c r="W11" t="s">
        <v>14</v>
      </c>
      <c r="AP11" s="32" t="str">
        <f>INDEX(G14:I34,D8,D4)</f>
        <v>Utility Apps</v>
      </c>
      <c r="AV11" s="32" t="str">
        <f>"Profit for "&amp;AP11</f>
        <v>Profit for Utility Apps</v>
      </c>
    </row>
    <row r="12" spans="2:52" x14ac:dyDescent="0.15">
      <c r="O12" t="str">
        <f>O14</f>
        <v>Revenue</v>
      </c>
      <c r="P12" t="str">
        <f t="shared" ref="P12:W12" si="2">P14</f>
        <v>Profit</v>
      </c>
      <c r="Q12" t="str">
        <f t="shared" si="2"/>
        <v>Cash</v>
      </c>
      <c r="R12" t="str">
        <f t="shared" si="2"/>
        <v>Revenue</v>
      </c>
      <c r="S12" t="str">
        <f t="shared" si="2"/>
        <v>Profit</v>
      </c>
      <c r="T12" t="str">
        <f t="shared" si="2"/>
        <v>Cash</v>
      </c>
      <c r="U12" t="str">
        <f t="shared" si="2"/>
        <v>Revenue</v>
      </c>
      <c r="V12" t="str">
        <f t="shared" si="2"/>
        <v>Profit</v>
      </c>
      <c r="W12" t="str">
        <f t="shared" si="2"/>
        <v>Cash</v>
      </c>
      <c r="AJ12" s="65" t="str">
        <f>CHOOSE(D7,"Top 6","Bottom 6")&amp; " sorted based on % ∆ B"</f>
        <v>Top 6 sorted based on % ∆ B</v>
      </c>
      <c r="AK12" s="32"/>
    </row>
    <row r="13" spans="2:52" x14ac:dyDescent="0.15">
      <c r="B13" s="34" t="s">
        <v>82</v>
      </c>
      <c r="C13" s="33"/>
      <c r="D13" s="33"/>
      <c r="E13" s="33"/>
      <c r="G13" s="34" t="s">
        <v>83</v>
      </c>
      <c r="H13" s="33"/>
      <c r="I13" s="33"/>
      <c r="O13" s="43" t="s">
        <v>0</v>
      </c>
      <c r="P13" s="43"/>
      <c r="Q13" s="43"/>
      <c r="R13" s="43" t="s">
        <v>16</v>
      </c>
      <c r="S13" s="43"/>
      <c r="T13" s="43"/>
      <c r="U13" s="43" t="s">
        <v>14</v>
      </c>
      <c r="V13" s="43"/>
      <c r="W13" s="43"/>
      <c r="X13" s="43" t="s">
        <v>88</v>
      </c>
      <c r="Y13" s="43"/>
      <c r="Z13" s="43"/>
      <c r="AA13" s="43" t="s">
        <v>89</v>
      </c>
      <c r="AB13" s="43"/>
      <c r="AC13" s="43"/>
      <c r="AF13" t="s">
        <v>110</v>
      </c>
      <c r="AI13" t="s">
        <v>111</v>
      </c>
      <c r="AJ13" s="65" t="str">
        <f>"Actual "&amp;INDEX(O14:Q14,D6)&amp;" Vs. Budget"</f>
        <v>Actual Revenue Vs. Budget</v>
      </c>
      <c r="AK13" s="32"/>
      <c r="AP13" s="43"/>
      <c r="AQ13" s="69">
        <f>cur_year</f>
        <v>2017</v>
      </c>
      <c r="AR13" s="68">
        <f>AQ13-1</f>
        <v>2016</v>
      </c>
      <c r="AS13" s="70">
        <f>AQ13</f>
        <v>2017</v>
      </c>
      <c r="AV13" s="43"/>
      <c r="AW13" s="69">
        <f t="shared" ref="AW13:AY14" si="3">AQ13</f>
        <v>2017</v>
      </c>
      <c r="AX13" s="68">
        <f t="shared" si="3"/>
        <v>2016</v>
      </c>
      <c r="AY13" s="70">
        <f t="shared" si="3"/>
        <v>2017</v>
      </c>
      <c r="AZ13" s="43" t="s">
        <v>120</v>
      </c>
    </row>
    <row r="14" spans="2:52" x14ac:dyDescent="0.15">
      <c r="G14" s="35" t="str">
        <f t="array" ref="G14:I14">TRANSPOSE(C15:C17)</f>
        <v>Productivity Apps</v>
      </c>
      <c r="H14" s="36" t="str">
        <v>Game Apps</v>
      </c>
      <c r="I14" s="37" t="str">
        <v>Utility Apps</v>
      </c>
      <c r="M14" s="43" t="s">
        <v>86</v>
      </c>
      <c r="N14" s="43" t="s">
        <v>87</v>
      </c>
      <c r="O14" s="1" t="s">
        <v>31</v>
      </c>
      <c r="P14" s="1" t="s">
        <v>32</v>
      </c>
      <c r="Q14" s="1" t="s">
        <v>33</v>
      </c>
      <c r="R14" s="3" t="s">
        <v>31</v>
      </c>
      <c r="S14" s="3" t="s">
        <v>32</v>
      </c>
      <c r="T14" s="3" t="s">
        <v>33</v>
      </c>
      <c r="U14" s="2" t="s">
        <v>31</v>
      </c>
      <c r="V14" s="2" t="s">
        <v>32</v>
      </c>
      <c r="W14" s="2" t="s">
        <v>33</v>
      </c>
      <c r="X14" s="3" t="s">
        <v>90</v>
      </c>
      <c r="Y14" s="3" t="s">
        <v>91</v>
      </c>
      <c r="Z14" s="3" t="s">
        <v>92</v>
      </c>
      <c r="AA14" s="2" t="s">
        <v>90</v>
      </c>
      <c r="AB14" s="2" t="s">
        <v>91</v>
      </c>
      <c r="AC14" s="2" t="s">
        <v>92</v>
      </c>
      <c r="AF14" s="43" t="s">
        <v>87</v>
      </c>
      <c r="AG14" s="2" t="str">
        <f>INDEX(AA14:AC14,D6)&amp;"  ∆ B"</f>
        <v>Revenue%  ∆ B</v>
      </c>
      <c r="AH14" s="43"/>
      <c r="AI14" s="43" t="s">
        <v>87</v>
      </c>
      <c r="AJ14" s="1" t="s">
        <v>0</v>
      </c>
      <c r="AK14" s="2" t="s">
        <v>14</v>
      </c>
      <c r="AL14" s="43" t="s">
        <v>114</v>
      </c>
      <c r="AM14" s="43" t="s">
        <v>115</v>
      </c>
      <c r="AP14" s="43" t="s">
        <v>78</v>
      </c>
      <c r="AQ14" s="1" t="s">
        <v>0</v>
      </c>
      <c r="AR14" s="3" t="s">
        <v>0</v>
      </c>
      <c r="AS14" s="2" t="s">
        <v>14</v>
      </c>
      <c r="AV14" s="43" t="s">
        <v>78</v>
      </c>
      <c r="AW14" s="1" t="str">
        <f t="shared" si="3"/>
        <v>Actual</v>
      </c>
      <c r="AX14" s="3" t="str">
        <f t="shared" si="3"/>
        <v>Actual</v>
      </c>
      <c r="AY14" s="2" t="str">
        <f t="shared" si="3"/>
        <v>Budget</v>
      </c>
      <c r="AZ14" s="1" t="s">
        <v>0</v>
      </c>
    </row>
    <row r="15" spans="2:52" x14ac:dyDescent="0.15">
      <c r="B15" t="s">
        <v>20</v>
      </c>
      <c r="C15" t="s">
        <v>34</v>
      </c>
      <c r="D15" t="s">
        <v>31</v>
      </c>
      <c r="G15" s="38" t="s">
        <v>35</v>
      </c>
      <c r="H15" t="s">
        <v>51</v>
      </c>
      <c r="I15" s="39" t="s">
        <v>64</v>
      </c>
      <c r="M15">
        <f>IF(N15&lt;&gt;"",ROW(A1),"")</f>
        <v>1</v>
      </c>
      <c r="N15" t="str">
        <f>IF(INDEX(G15:I15,$D$4)="","",INDEX(G15:I15,$D$4))</f>
        <v>Commuta</v>
      </c>
      <c r="O15" s="62">
        <f>IF($N15&lt;&gt;"",INDEX(Data!$B$9:$J$60,MATCH($N15,Data!$A$9:$A$60,0),MATCH(O$8,Data!$B$4:$J$4,0)),"")</f>
        <v>6353</v>
      </c>
      <c r="P15" s="62">
        <f>IF($N15&lt;&gt;"",INDEX(Data!$B$9:$J$60,MATCH($N15,Data!$A$9:$A$60,0),MATCH(P$8,Data!$B$4:$J$4,0)),"")</f>
        <v>762</v>
      </c>
      <c r="Q15" s="62">
        <f>IF($N15&lt;&gt;"",INDEX(Data!$B$9:$J$60,MATCH($N15,Data!$A$9:$A$60,0),MATCH(Q$8,Data!$B$4:$J$4,0)),"")</f>
        <v>7332</v>
      </c>
      <c r="R15" s="62">
        <f>IF($N15&lt;&gt;"",INDEX(Data!$B$9:$J$60,MATCH($N15,Data!$A$9:$A$60,0),MATCH(R$8,Data!$B$4:$J$4,0)),"")</f>
        <v>5993</v>
      </c>
      <c r="S15" s="62">
        <f>IF($N15&lt;&gt;"",INDEX(Data!$B$9:$J$60,MATCH($N15,Data!$A$9:$A$60,0),MATCH(S$8,Data!$B$4:$J$4,0)),"")</f>
        <v>674</v>
      </c>
      <c r="T15" s="62">
        <f>IF($N15&lt;&gt;"",INDEX(Data!$B$9:$J$60,MATCH($N15,Data!$A$9:$A$60,0),MATCH(T$8,Data!$B$4:$J$4,0)),"")</f>
        <v>7167</v>
      </c>
      <c r="U15" s="62">
        <f>IF($N15&lt;&gt;"",INDEX(Data!$B$9:$J$60,MATCH($N15,Data!$A$9:$A$60,0),MATCH(U$8,Data!$B$4:$J$4,0)),"")</f>
        <v>5275</v>
      </c>
      <c r="V15" s="62">
        <f>IF($N15&lt;&gt;"",INDEX(Data!$B$9:$J$60,MATCH($N15,Data!$A$9:$A$60,0),MATCH(V$8,Data!$B$4:$J$4,0)),"")</f>
        <v>568</v>
      </c>
      <c r="W15" s="62">
        <f>IF($N15&lt;&gt;"",INDEX(Data!$B$9:$J$60,MATCH($N15,Data!$A$9:$A$60,0),MATCH(W$8,Data!$B$4:$J$4,0)),"")</f>
        <v>7227</v>
      </c>
      <c r="X15" s="44">
        <f t="shared" ref="X15:X34" si="4">IF($N15&lt;&gt;"",(O15-R15)/R15,"")</f>
        <v>6.0070081762055728E-2</v>
      </c>
      <c r="Y15" s="44">
        <f t="shared" ref="Y15:Y34" si="5">IF($N15&lt;&gt;"",(P15-S15)/S15,"")</f>
        <v>0.13056379821958458</v>
      </c>
      <c r="Z15" s="44">
        <f t="shared" ref="Z15:Z34" si="6">IF($N15&lt;&gt;"",(Q15-T15)/T15,"")</f>
        <v>2.3022185014650483E-2</v>
      </c>
      <c r="AA15" s="44">
        <f>IF($N15&lt;&gt;"",(O15-U15)/U15,"")</f>
        <v>0.20436018957345972</v>
      </c>
      <c r="AB15" s="44">
        <f>IF($N15&lt;&gt;"",(P15-V15)/V15,"")</f>
        <v>0.34154929577464788</v>
      </c>
      <c r="AC15" s="44">
        <f>IF($N15&lt;&gt;"",(Q15-W15)/W15,"")</f>
        <v>1.4528850145288501E-2</v>
      </c>
      <c r="AF15" t="str">
        <f>N15</f>
        <v>Commuta</v>
      </c>
      <c r="AG15" s="51">
        <f>IF(AF15="","",INDEX(AA15:AC15,$D$6)+(ROW()/10000000000)+N("the row function is used here to make sure we have unique values to sort"))</f>
        <v>0.20436019107345973</v>
      </c>
      <c r="AH15" s="43"/>
      <c r="AI15" t="str">
        <f t="shared" ref="AI15:AI20" si="7">INDEX($AF$15:$AF$34,MATCH(CHOOSE($D$7,LARGE($AG$15:$AG$34,$M15),SMALL($AG$15:$AG$34,$M15)),$AG$15:$AG$34,0))</f>
        <v>Commuta</v>
      </c>
      <c r="AJ15" s="62">
        <f t="shared" ref="AJ15:AJ20" si="8">INDEX($O$15:$Q$35,MATCH($AI15,$N$15:$N$34,0),$D$6)</f>
        <v>6353</v>
      </c>
      <c r="AK15" s="62">
        <f t="shared" ref="AK15:AK20" si="9">INDEX($U$15:$W$35,MATCH($AI15,$N$15:$N$34,0),$D$6)</f>
        <v>5275</v>
      </c>
      <c r="AL15" s="62">
        <f t="shared" ref="AL15:AL20" si="10">MAX(AJ15:AK15)</f>
        <v>6353</v>
      </c>
      <c r="AM15" t="str">
        <f>TEXT(INDEX($AA$15:$AC$34,MATCH(AI15,$N$15:$N$34,0),$D$6),"0%")&amp;" | "&amp;TEXT(AJ15,"#,##0")</f>
        <v>20% | 6,353</v>
      </c>
      <c r="AP15" t="s">
        <v>20</v>
      </c>
      <c r="AQ15" s="62">
        <f>INDEX(Data!$K$9:$AT$60,MATCH(Calculation!$AP$11,Data!$A$9:$A$60,0),MATCH(Calculation!AQ$13&amp;Calculation!$AP15&amp;Calculation!AQ$14,INDEX(Data!$K$5:$AT$5&amp;Data!$K$6:$AT$6&amp;Data!$K$7:$AT$7,),0))</f>
        <v>1232.5999999999999</v>
      </c>
      <c r="AR15" s="62">
        <f>INDEX(Data!$K$9:$AT$60,MATCH(Calculation!$AP$11,Data!$A$9:$A$60,0),MATCH(Calculation!AR$13&amp;Calculation!$AP15&amp;Calculation!AR$14,INDEX(Data!$K$5:$AT$5&amp;Data!$K$6:$AT$6&amp;Data!$K$7:$AT$7,),0))</f>
        <v>1081.8</v>
      </c>
      <c r="AS15" s="62">
        <f>INDEX(Data!$K$9:$AT$60,MATCH(Calculation!$AP$11,Data!$A$9:$A$60,0),MATCH(Calculation!AS$13&amp;Calculation!$AP15&amp;Calculation!AS$14,INDEX(Data!$K$5:$AT$5&amp;Data!$K$6:$AT$6&amp;Data!$K$7:$AT$7,),0))</f>
        <v>1097.7</v>
      </c>
      <c r="AT15" s="43"/>
      <c r="AU15" s="43"/>
      <c r="AV15" t="str">
        <f>LEFT(AP15,1)</f>
        <v>J</v>
      </c>
      <c r="AW15">
        <f>IF(MATCH(cur_month,$AP$15:$AP$26,0)&gt;=ROWS($AP$15:AP15),AQ15,NA())</f>
        <v>1232.5999999999999</v>
      </c>
      <c r="AX15" s="62">
        <f>IF($D$9,AR15,NA())</f>
        <v>1081.8</v>
      </c>
      <c r="AY15" s="62">
        <f>IF($D$10,AS15,NA())</f>
        <v>1097.7</v>
      </c>
      <c r="AZ15" t="e">
        <f>IF(AP15=cur_month,AW15,NA())</f>
        <v>#N/A</v>
      </c>
    </row>
    <row r="16" spans="2:52" x14ac:dyDescent="0.15">
      <c r="B16" t="s">
        <v>21</v>
      </c>
      <c r="C16" t="s">
        <v>50</v>
      </c>
      <c r="D16" t="s">
        <v>32</v>
      </c>
      <c r="G16" s="38" t="s">
        <v>36</v>
      </c>
      <c r="H16" t="s">
        <v>52</v>
      </c>
      <c r="I16" s="39" t="s">
        <v>65</v>
      </c>
      <c r="M16">
        <f t="shared" ref="M16:M34" si="11">IF(N16&lt;&gt;"",ROW(A2),"")</f>
        <v>2</v>
      </c>
      <c r="N16" t="str">
        <f t="shared" ref="N16:N34" si="12">IF(INDEX(G16:I16,$D$4)="","",INDEX(G16:I16,$D$4))</f>
        <v>Infic</v>
      </c>
      <c r="O16" s="62">
        <f>IF($N16&lt;&gt;"",INDEX(Data!$B$9:$J$60,MATCH($N16,Data!$A$9:$A$60,0),MATCH(O$8,Data!$B$4:$J$4,0)),"")</f>
        <v>12373</v>
      </c>
      <c r="P16" s="62">
        <f>IF($N16&lt;&gt;"",INDEX(Data!$B$9:$J$60,MATCH($N16,Data!$A$9:$A$60,0),MATCH(P$8,Data!$B$4:$J$4,0)),"")</f>
        <v>408</v>
      </c>
      <c r="Q16" s="62">
        <f>IF($N16&lt;&gt;"",INDEX(Data!$B$9:$J$60,MATCH($N16,Data!$A$9:$A$60,0),MATCH(Q$8,Data!$B$4:$J$4,0)),"")</f>
        <v>3054</v>
      </c>
      <c r="R16" s="62">
        <f>IF($N16&lt;&gt;"",INDEX(Data!$B$9:$J$60,MATCH($N16,Data!$A$9:$A$60,0),MATCH(R$8,Data!$B$4:$J$4,0)),"")</f>
        <v>12398</v>
      </c>
      <c r="S16" s="62">
        <f>IF($N16&lt;&gt;"",INDEX(Data!$B$9:$J$60,MATCH($N16,Data!$A$9:$A$60,0),MATCH(S$8,Data!$B$4:$J$4,0)),"")</f>
        <v>341</v>
      </c>
      <c r="T16" s="62">
        <f>IF($N16&lt;&gt;"",INDEX(Data!$B$9:$J$60,MATCH($N16,Data!$A$9:$A$60,0),MATCH(T$8,Data!$B$4:$J$4,0)),"")</f>
        <v>3033</v>
      </c>
      <c r="U16" s="62">
        <f>IF($N16&lt;&gt;"",INDEX(Data!$B$9:$J$60,MATCH($N16,Data!$A$9:$A$60,0),MATCH(U$8,Data!$B$4:$J$4,0)),"")</f>
        <v>10472</v>
      </c>
      <c r="V16" s="62">
        <f>IF($N16&lt;&gt;"",INDEX(Data!$B$9:$J$60,MATCH($N16,Data!$A$9:$A$60,0),MATCH(V$8,Data!$B$4:$J$4,0)),"")</f>
        <v>461</v>
      </c>
      <c r="W16" s="62">
        <f>IF($N16&lt;&gt;"",INDEX(Data!$B$9:$J$60,MATCH($N16,Data!$A$9:$A$60,0),MATCH(W$8,Data!$B$4:$J$4,0)),"")</f>
        <v>2910</v>
      </c>
      <c r="X16" s="44">
        <f t="shared" si="4"/>
        <v>-2.0164542668172285E-3</v>
      </c>
      <c r="Y16" s="44">
        <f t="shared" si="5"/>
        <v>0.19648093841642228</v>
      </c>
      <c r="Z16" s="44">
        <f t="shared" si="6"/>
        <v>6.923837784371909E-3</v>
      </c>
      <c r="AA16" s="44">
        <f t="shared" ref="AA16:AA34" si="13">IF($N16&lt;&gt;"",(O16-U16)/U16,"")</f>
        <v>0.18153170359052712</v>
      </c>
      <c r="AB16" s="44">
        <f t="shared" ref="AB16:AB34" si="14">IF($N16&lt;&gt;"",(P16-V16)/V16,"")</f>
        <v>-0.11496746203904555</v>
      </c>
      <c r="AC16" s="44">
        <f t="shared" ref="AC16:AC34" si="15">IF($N16&lt;&gt;"",(Q16-W16)/W16,"")</f>
        <v>4.9484536082474224E-2</v>
      </c>
      <c r="AF16" t="str">
        <f t="shared" ref="AF16:AF34" si="16">N16</f>
        <v>Infic</v>
      </c>
      <c r="AG16" s="51">
        <f t="shared" ref="AG16:AG34" si="17">IF(AF16="","",INDEX(AA16:AC16,$D$6)+(ROW()/10000000000)+N("the row function is used here to make sure we have unique values to sort"))</f>
        <v>0.18153170519052711</v>
      </c>
      <c r="AH16" s="43"/>
      <c r="AI16" t="str">
        <f t="shared" si="7"/>
        <v>Mosquit</v>
      </c>
      <c r="AJ16" s="62">
        <f t="shared" si="8"/>
        <v>6302</v>
      </c>
      <c r="AK16" s="62">
        <f t="shared" si="9"/>
        <v>5293</v>
      </c>
      <c r="AL16" s="62">
        <f t="shared" si="10"/>
        <v>6302</v>
      </c>
      <c r="AM16" t="str">
        <f t="shared" ref="AM16:AM20" si="18">TEXT(INDEX($AA$15:$AC$34,MATCH(AI16,$N$15:$N$34,0),$D$6),"0%")&amp;" | "&amp;TEXT(AJ16,"#,##0")</f>
        <v>19% | 6,302</v>
      </c>
      <c r="AP16" t="s">
        <v>21</v>
      </c>
      <c r="AQ16" s="62">
        <f>INDEX(Data!$K$9:$AT$60,MATCH(Calculation!$AP$11,Data!$A$9:$A$60,0),MATCH(Calculation!AQ$13&amp;Calculation!$AP16&amp;Calculation!AQ$14,INDEX(Data!$K$5:$AT$5&amp;Data!$K$6:$AT$6&amp;Data!$K$7:$AT$7,),0))</f>
        <v>2521.8000000000002</v>
      </c>
      <c r="AR16" s="62">
        <f>INDEX(Data!$K$9:$AT$60,MATCH(Calculation!$AP$11,Data!$A$9:$A$60,0),MATCH(Calculation!AR$13&amp;Calculation!$AP16&amp;Calculation!AR$14,INDEX(Data!$K$5:$AT$5&amp;Data!$K$6:$AT$6&amp;Data!$K$7:$AT$7,),0))</f>
        <v>1914.2</v>
      </c>
      <c r="AS16" s="62">
        <f>INDEX(Data!$K$9:$AT$60,MATCH(Calculation!$AP$11,Data!$A$9:$A$60,0),MATCH(Calculation!AS$13&amp;Calculation!$AP16&amp;Calculation!AS$14,INDEX(Data!$K$5:$AT$5&amp;Data!$K$6:$AT$6&amp;Data!$K$7:$AT$7,),0))</f>
        <v>2174.8000000000002</v>
      </c>
      <c r="AT16" s="43"/>
      <c r="AU16" s="43"/>
      <c r="AV16" t="str">
        <f t="shared" ref="AV16:AV26" si="19">LEFT(AP16,1)</f>
        <v>F</v>
      </c>
      <c r="AW16">
        <f>IF(MATCH(cur_month,$AP$15:$AP$26,0)&gt;=ROWS($AP$15:AP16),AQ16,NA())</f>
        <v>2521.8000000000002</v>
      </c>
      <c r="AX16" s="62">
        <f t="shared" ref="AX16:AX26" si="20">IF($D$9,AR16,NA())</f>
        <v>1914.2</v>
      </c>
      <c r="AY16" s="62">
        <f t="shared" ref="AY16:AY26" si="21">IF($D$10,AS16,NA())</f>
        <v>2174.8000000000002</v>
      </c>
      <c r="AZ16" t="e">
        <f t="shared" ref="AZ16:AZ26" si="22">IF(AP16=cur_month,AW16,NA())</f>
        <v>#N/A</v>
      </c>
    </row>
    <row r="17" spans="2:52" x14ac:dyDescent="0.15">
      <c r="B17" t="s">
        <v>22</v>
      </c>
      <c r="C17" t="s">
        <v>63</v>
      </c>
      <c r="D17" t="s">
        <v>33</v>
      </c>
      <c r="G17" s="38" t="s">
        <v>37</v>
      </c>
      <c r="H17" t="s">
        <v>53</v>
      </c>
      <c r="I17" s="39" t="s">
        <v>66</v>
      </c>
      <c r="M17">
        <f t="shared" si="11"/>
        <v>3</v>
      </c>
      <c r="N17" t="str">
        <f t="shared" si="12"/>
        <v>Accord</v>
      </c>
      <c r="O17" s="62">
        <f>IF($N17&lt;&gt;"",INDEX(Data!$B$9:$J$60,MATCH($N17,Data!$A$9:$A$60,0),MATCH(O$8,Data!$B$4:$J$4,0)),"")</f>
        <v>17760</v>
      </c>
      <c r="P17" s="62">
        <f>IF($N17&lt;&gt;"",INDEX(Data!$B$9:$J$60,MATCH($N17,Data!$A$9:$A$60,0),MATCH(P$8,Data!$B$4:$J$4,0)),"")</f>
        <v>800</v>
      </c>
      <c r="Q17" s="62">
        <f>IF($N17&lt;&gt;"",INDEX(Data!$B$9:$J$60,MATCH($N17,Data!$A$9:$A$60,0),MATCH(Q$8,Data!$B$4:$J$4,0)),"")</f>
        <v>6488</v>
      </c>
      <c r="R17" s="62">
        <f>IF($N17&lt;&gt;"",INDEX(Data!$B$9:$J$60,MATCH($N17,Data!$A$9:$A$60,0),MATCH(R$8,Data!$B$4:$J$4,0)),"")</f>
        <v>17025</v>
      </c>
      <c r="S17" s="62">
        <f>IF($N17&lt;&gt;"",INDEX(Data!$B$9:$J$60,MATCH($N17,Data!$A$9:$A$60,0),MATCH(S$8,Data!$B$4:$J$4,0)),"")</f>
        <v>568</v>
      </c>
      <c r="T17" s="62">
        <f>IF($N17&lt;&gt;"",INDEX(Data!$B$9:$J$60,MATCH($N17,Data!$A$9:$A$60,0),MATCH(T$8,Data!$B$4:$J$4,0)),"")</f>
        <v>7469</v>
      </c>
      <c r="U17" s="62">
        <f>IF($N17&lt;&gt;"",INDEX(Data!$B$9:$J$60,MATCH($N17,Data!$A$9:$A$60,0),MATCH(U$8,Data!$B$4:$J$4,0)),"")</f>
        <v>16854</v>
      </c>
      <c r="V17" s="62">
        <f>IF($N17&lt;&gt;"",INDEX(Data!$B$9:$J$60,MATCH($N17,Data!$A$9:$A$60,0),MATCH(V$8,Data!$B$4:$J$4,0)),"")</f>
        <v>572</v>
      </c>
      <c r="W17" s="62">
        <f>IF($N17&lt;&gt;"",INDEX(Data!$B$9:$J$60,MATCH($N17,Data!$A$9:$A$60,0),MATCH(W$8,Data!$B$4:$J$4,0)),"")</f>
        <v>6611</v>
      </c>
      <c r="X17" s="44">
        <f t="shared" si="4"/>
        <v>4.3171806167400878E-2</v>
      </c>
      <c r="Y17" s="44">
        <f t="shared" si="5"/>
        <v>0.40845070422535212</v>
      </c>
      <c r="Z17" s="44">
        <f t="shared" si="6"/>
        <v>-0.13134288392020352</v>
      </c>
      <c r="AA17" s="44">
        <f t="shared" si="13"/>
        <v>5.3755784976860094E-2</v>
      </c>
      <c r="AB17" s="44">
        <f t="shared" si="14"/>
        <v>0.39860139860139859</v>
      </c>
      <c r="AC17" s="44">
        <f t="shared" si="15"/>
        <v>-1.8605354711843897E-2</v>
      </c>
      <c r="AF17" t="str">
        <f t="shared" si="16"/>
        <v>Accord</v>
      </c>
      <c r="AG17" s="51">
        <f t="shared" si="17"/>
        <v>5.3755786676860096E-2</v>
      </c>
      <c r="AH17" s="43"/>
      <c r="AI17" t="str">
        <f t="shared" si="7"/>
        <v>Infic</v>
      </c>
      <c r="AJ17" s="62">
        <f t="shared" si="8"/>
        <v>12373</v>
      </c>
      <c r="AK17" s="62">
        <f t="shared" si="9"/>
        <v>10472</v>
      </c>
      <c r="AL17" s="62">
        <f t="shared" si="10"/>
        <v>12373</v>
      </c>
      <c r="AM17" t="str">
        <f t="shared" si="18"/>
        <v>18% | 12,373</v>
      </c>
      <c r="AP17" t="s">
        <v>22</v>
      </c>
      <c r="AQ17" s="62">
        <f>INDEX(Data!$K$9:$AT$60,MATCH(Calculation!$AP$11,Data!$A$9:$A$60,0),MATCH(Calculation!AQ$13&amp;Calculation!$AP17&amp;Calculation!AQ$14,INDEX(Data!$K$5:$AT$5&amp;Data!$K$6:$AT$6&amp;Data!$K$7:$AT$7,),0))</f>
        <v>3867.8</v>
      </c>
      <c r="AR17" s="62">
        <f>INDEX(Data!$K$9:$AT$60,MATCH(Calculation!$AP$11,Data!$A$9:$A$60,0),MATCH(Calculation!AR$13&amp;Calculation!$AP17&amp;Calculation!AR$14,INDEX(Data!$K$5:$AT$5&amp;Data!$K$6:$AT$6&amp;Data!$K$7:$AT$7,),0))</f>
        <v>3013.9</v>
      </c>
      <c r="AS17" s="62">
        <f>INDEX(Data!$K$9:$AT$60,MATCH(Calculation!$AP$11,Data!$A$9:$A$60,0),MATCH(Calculation!AS$13&amp;Calculation!$AP17&amp;Calculation!AS$14,INDEX(Data!$K$5:$AT$5&amp;Data!$K$6:$AT$6&amp;Data!$K$7:$AT$7,),0))</f>
        <v>3533.9</v>
      </c>
      <c r="AT17" s="43"/>
      <c r="AU17" s="43"/>
      <c r="AV17" t="str">
        <f t="shared" si="19"/>
        <v>M</v>
      </c>
      <c r="AW17">
        <f>IF(MATCH(cur_month,$AP$15:$AP$26,0)&gt;=ROWS($AP$15:AP17),AQ17,NA())</f>
        <v>3867.8</v>
      </c>
      <c r="AX17" s="62">
        <f t="shared" si="20"/>
        <v>3013.9</v>
      </c>
      <c r="AY17" s="62">
        <f t="shared" si="21"/>
        <v>3533.9</v>
      </c>
      <c r="AZ17" t="e">
        <f t="shared" si="22"/>
        <v>#N/A</v>
      </c>
    </row>
    <row r="18" spans="2:52" x14ac:dyDescent="0.15">
      <c r="B18" t="s">
        <v>23</v>
      </c>
      <c r="G18" s="38" t="s">
        <v>38</v>
      </c>
      <c r="H18" t="s">
        <v>54</v>
      </c>
      <c r="I18" s="39" t="s">
        <v>67</v>
      </c>
      <c r="M18">
        <f t="shared" si="11"/>
        <v>4</v>
      </c>
      <c r="N18" t="str">
        <f t="shared" si="12"/>
        <v>Misty Wash</v>
      </c>
      <c r="O18" s="62">
        <f>IF($N18&lt;&gt;"",INDEX(Data!$B$9:$J$60,MATCH($N18,Data!$A$9:$A$60,0),MATCH(O$8,Data!$B$4:$J$4,0)),"")</f>
        <v>30399.599999999999</v>
      </c>
      <c r="P18" s="62">
        <f>IF($N18&lt;&gt;"",INDEX(Data!$B$9:$J$60,MATCH($N18,Data!$A$9:$A$60,0),MATCH(P$8,Data!$B$4:$J$4,0)),"")</f>
        <v>786.8</v>
      </c>
      <c r="Q18" s="62">
        <f>IF($N18&lt;&gt;"",INDEX(Data!$B$9:$J$60,MATCH($N18,Data!$A$9:$A$60,0),MATCH(Q$8,Data!$B$4:$J$4,0)),"")</f>
        <v>12308.8</v>
      </c>
      <c r="R18" s="62">
        <f>IF($N18&lt;&gt;"",INDEX(Data!$B$9:$J$60,MATCH($N18,Data!$A$9:$A$60,0),MATCH(R$8,Data!$B$4:$J$4,0)),"")</f>
        <v>29531.599999999999</v>
      </c>
      <c r="S18" s="62">
        <f>IF($N18&lt;&gt;"",INDEX(Data!$B$9:$J$60,MATCH($N18,Data!$A$9:$A$60,0),MATCH(S$8,Data!$B$4:$J$4,0)),"")</f>
        <v>786.8</v>
      </c>
      <c r="T18" s="62">
        <f>IF($N18&lt;&gt;"",INDEX(Data!$B$9:$J$60,MATCH($N18,Data!$A$9:$A$60,0),MATCH(T$8,Data!$B$4:$J$4,0)),"")</f>
        <v>13941.199999999999</v>
      </c>
      <c r="U18" s="62">
        <f>IF($N18&lt;&gt;"",INDEX(Data!$B$9:$J$60,MATCH($N18,Data!$A$9:$A$60,0),MATCH(U$8,Data!$B$4:$J$4,0)),"")</f>
        <v>30237.199999999997</v>
      </c>
      <c r="V18" s="62">
        <f>IF($N18&lt;&gt;"",INDEX(Data!$B$9:$J$60,MATCH($N18,Data!$A$9:$A$60,0),MATCH(V$8,Data!$B$4:$J$4,0)),"")</f>
        <v>932.4</v>
      </c>
      <c r="W18" s="62">
        <f>IF($N18&lt;&gt;"",INDEX(Data!$B$9:$J$60,MATCH($N18,Data!$A$9:$A$60,0),MATCH(W$8,Data!$B$4:$J$4,0)),"")</f>
        <v>13381.199999999999</v>
      </c>
      <c r="X18" s="44">
        <f t="shared" si="4"/>
        <v>2.9392244240068269E-2</v>
      </c>
      <c r="Y18" s="44">
        <f t="shared" si="5"/>
        <v>0</v>
      </c>
      <c r="Z18" s="44">
        <f t="shared" si="6"/>
        <v>-0.11709178549909618</v>
      </c>
      <c r="AA18" s="44">
        <f t="shared" si="13"/>
        <v>5.3708676729327274E-3</v>
      </c>
      <c r="AB18" s="44">
        <f t="shared" si="14"/>
        <v>-0.15615615615615619</v>
      </c>
      <c r="AC18" s="44">
        <f t="shared" si="15"/>
        <v>-8.014228918183719E-2</v>
      </c>
      <c r="AF18" t="str">
        <f t="shared" si="16"/>
        <v>Misty Wash</v>
      </c>
      <c r="AG18" s="51">
        <f t="shared" si="17"/>
        <v>5.3708694729327272E-3</v>
      </c>
      <c r="AH18" s="43"/>
      <c r="AI18" t="str">
        <f t="shared" si="7"/>
        <v>Motocyco</v>
      </c>
      <c r="AJ18" s="62">
        <f t="shared" si="8"/>
        <v>11182</v>
      </c>
      <c r="AK18" s="62">
        <f t="shared" si="9"/>
        <v>9952</v>
      </c>
      <c r="AL18" s="62">
        <f t="shared" si="10"/>
        <v>11182</v>
      </c>
      <c r="AM18" t="str">
        <f t="shared" si="18"/>
        <v>12% | 11,182</v>
      </c>
      <c r="AP18" t="s">
        <v>23</v>
      </c>
      <c r="AQ18" s="62">
        <f>INDEX(Data!$K$9:$AT$60,MATCH(Calculation!$AP$11,Data!$A$9:$A$60,0),MATCH(Calculation!AQ$13&amp;Calculation!$AP18&amp;Calculation!AQ$14,INDEX(Data!$K$5:$AT$5&amp;Data!$K$6:$AT$6&amp;Data!$K$7:$AT$7,),0))</f>
        <v>5348.4</v>
      </c>
      <c r="AR18" s="62">
        <f>INDEX(Data!$K$9:$AT$60,MATCH(Calculation!$AP$11,Data!$A$9:$A$60,0),MATCH(Calculation!AR$13&amp;Calculation!$AP18&amp;Calculation!AR$14,INDEX(Data!$K$5:$AT$5&amp;Data!$K$6:$AT$6&amp;Data!$K$7:$AT$7,),0))</f>
        <v>4416.3999999999996</v>
      </c>
      <c r="AS18" s="62">
        <f>INDEX(Data!$K$9:$AT$60,MATCH(Calculation!$AP$11,Data!$A$9:$A$60,0),MATCH(Calculation!AS$13&amp;Calculation!$AP18&amp;Calculation!AS$14,INDEX(Data!$K$5:$AT$5&amp;Data!$K$6:$AT$6&amp;Data!$K$7:$AT$7,),0))</f>
        <v>4717.1000000000004</v>
      </c>
      <c r="AT18" s="43"/>
      <c r="AU18" s="43"/>
      <c r="AV18" t="str">
        <f t="shared" si="19"/>
        <v>A</v>
      </c>
      <c r="AW18">
        <f>IF(MATCH(cur_month,$AP$15:$AP$26,0)&gt;=ROWS($AP$15:AP18),AQ18,NA())</f>
        <v>5348.4</v>
      </c>
      <c r="AX18" s="62">
        <f t="shared" si="20"/>
        <v>4416.3999999999996</v>
      </c>
      <c r="AY18" s="62">
        <f t="shared" si="21"/>
        <v>4717.1000000000004</v>
      </c>
      <c r="AZ18" t="e">
        <f t="shared" si="22"/>
        <v>#N/A</v>
      </c>
    </row>
    <row r="19" spans="2:52" x14ac:dyDescent="0.15">
      <c r="B19" t="s">
        <v>24</v>
      </c>
      <c r="G19" s="38" t="s">
        <v>39</v>
      </c>
      <c r="H19" t="s">
        <v>55</v>
      </c>
      <c r="I19" s="39" t="s">
        <v>68</v>
      </c>
      <c r="M19">
        <f t="shared" si="11"/>
        <v>5</v>
      </c>
      <c r="N19" t="str">
        <f t="shared" si="12"/>
        <v>Twenty20</v>
      </c>
      <c r="O19" s="62">
        <f>IF($N19&lt;&gt;"",INDEX(Data!$B$9:$J$60,MATCH($N19,Data!$A$9:$A$60,0),MATCH(O$8,Data!$B$4:$J$4,0)),"")</f>
        <v>20400</v>
      </c>
      <c r="P19" s="62">
        <f>IF($N19&lt;&gt;"",INDEX(Data!$B$9:$J$60,MATCH($N19,Data!$A$9:$A$60,0),MATCH(P$8,Data!$B$4:$J$4,0)),"")</f>
        <v>614.40000000000009</v>
      </c>
      <c r="Q19" s="62">
        <f>IF($N19&lt;&gt;"",INDEX(Data!$B$9:$J$60,MATCH($N19,Data!$A$9:$A$60,0),MATCH(Q$8,Data!$B$4:$J$4,0)),"")</f>
        <v>15171.2</v>
      </c>
      <c r="R19" s="62">
        <f>IF($N19&lt;&gt;"",INDEX(Data!$B$9:$J$60,MATCH($N19,Data!$A$9:$A$60,0),MATCH(R$8,Data!$B$4:$J$4,0)),"")</f>
        <v>22224</v>
      </c>
      <c r="S19" s="62">
        <f>IF($N19&lt;&gt;"",INDEX(Data!$B$9:$J$60,MATCH($N19,Data!$A$9:$A$60,0),MATCH(S$8,Data!$B$4:$J$4,0)),"")</f>
        <v>988.80000000000007</v>
      </c>
      <c r="T19" s="62">
        <f>IF($N19&lt;&gt;"",INDEX(Data!$B$9:$J$60,MATCH($N19,Data!$A$9:$A$60,0),MATCH(T$8,Data!$B$4:$J$4,0)),"")</f>
        <v>16019.2</v>
      </c>
      <c r="U19" s="62">
        <f>IF($N19&lt;&gt;"",INDEX(Data!$B$9:$J$60,MATCH($N19,Data!$A$9:$A$60,0),MATCH(U$8,Data!$B$4:$J$4,0)),"")</f>
        <v>18476.8</v>
      </c>
      <c r="V19" s="62">
        <f>IF($N19&lt;&gt;"",INDEX(Data!$B$9:$J$60,MATCH($N19,Data!$A$9:$A$60,0),MATCH(V$8,Data!$B$4:$J$4,0)),"")</f>
        <v>1120</v>
      </c>
      <c r="W19" s="62">
        <f>IF($N19&lt;&gt;"",INDEX(Data!$B$9:$J$60,MATCH($N19,Data!$A$9:$A$60,0),MATCH(W$8,Data!$B$4:$J$4,0)),"")</f>
        <v>14230.400000000001</v>
      </c>
      <c r="X19" s="44">
        <f t="shared" si="4"/>
        <v>-8.2073434125269976E-2</v>
      </c>
      <c r="Y19" s="44">
        <f t="shared" si="5"/>
        <v>-0.37864077669902907</v>
      </c>
      <c r="Z19" s="44">
        <f t="shared" si="6"/>
        <v>-5.2936476228525764E-2</v>
      </c>
      <c r="AA19" s="44">
        <f t="shared" si="13"/>
        <v>0.10408728784205061</v>
      </c>
      <c r="AB19" s="44">
        <f t="shared" si="14"/>
        <v>-0.45142857142857135</v>
      </c>
      <c r="AC19" s="44">
        <f t="shared" si="15"/>
        <v>6.6111985608275178E-2</v>
      </c>
      <c r="AF19" t="str">
        <f t="shared" si="16"/>
        <v>Twenty20</v>
      </c>
      <c r="AG19" s="51">
        <f t="shared" si="17"/>
        <v>0.10408728974205061</v>
      </c>
      <c r="AH19" s="43"/>
      <c r="AI19" t="str">
        <f t="shared" si="7"/>
        <v>Twenty20</v>
      </c>
      <c r="AJ19" s="62">
        <f t="shared" si="8"/>
        <v>20400</v>
      </c>
      <c r="AK19" s="62">
        <f t="shared" si="9"/>
        <v>18476.8</v>
      </c>
      <c r="AL19" s="62">
        <f t="shared" si="10"/>
        <v>20400</v>
      </c>
      <c r="AM19" t="str">
        <f t="shared" si="18"/>
        <v>10% | 20,400</v>
      </c>
      <c r="AP19" t="s">
        <v>24</v>
      </c>
      <c r="AQ19" s="62">
        <f>INDEX(Data!$K$9:$AT$60,MATCH(Calculation!$AP$11,Data!$A$9:$A$60,0),MATCH(Calculation!AQ$13&amp;Calculation!$AP19&amp;Calculation!AQ$14,INDEX(Data!$K$5:$AT$5&amp;Data!$K$6:$AT$6&amp;Data!$K$7:$AT$7,),0))</f>
        <v>7289.8</v>
      </c>
      <c r="AR19" s="62">
        <f>INDEX(Data!$K$9:$AT$60,MATCH(Calculation!$AP$11,Data!$A$9:$A$60,0),MATCH(Calculation!AR$13&amp;Calculation!$AP19&amp;Calculation!AR$14,INDEX(Data!$K$5:$AT$5&amp;Data!$K$6:$AT$6&amp;Data!$K$7:$AT$7,),0))</f>
        <v>5770.1</v>
      </c>
      <c r="AS19" s="62">
        <f>INDEX(Data!$K$9:$AT$60,MATCH(Calculation!$AP$11,Data!$A$9:$A$60,0),MATCH(Calculation!AS$13&amp;Calculation!$AP19&amp;Calculation!AS$14,INDEX(Data!$K$5:$AT$5&amp;Data!$K$6:$AT$6&amp;Data!$K$7:$AT$7,),0))</f>
        <v>6398.7999999999993</v>
      </c>
      <c r="AT19" s="43"/>
      <c r="AU19" s="43"/>
      <c r="AV19" t="str">
        <f t="shared" si="19"/>
        <v>M</v>
      </c>
      <c r="AW19">
        <f>IF(MATCH(cur_month,$AP$15:$AP$26,0)&gt;=ROWS($AP$15:AP19),AQ19,NA())</f>
        <v>7289.8</v>
      </c>
      <c r="AX19" s="62">
        <f t="shared" si="20"/>
        <v>5770.1</v>
      </c>
      <c r="AY19" s="62">
        <f t="shared" si="21"/>
        <v>6398.7999999999993</v>
      </c>
      <c r="AZ19" t="e">
        <f t="shared" si="22"/>
        <v>#N/A</v>
      </c>
    </row>
    <row r="20" spans="2:52" x14ac:dyDescent="0.15">
      <c r="B20" t="s">
        <v>19</v>
      </c>
      <c r="G20" s="38" t="s">
        <v>40</v>
      </c>
      <c r="H20" t="s">
        <v>56</v>
      </c>
      <c r="I20" s="39" t="s">
        <v>69</v>
      </c>
      <c r="M20">
        <f t="shared" si="11"/>
        <v>6</v>
      </c>
      <c r="N20" t="str">
        <f t="shared" si="12"/>
        <v>Tanox</v>
      </c>
      <c r="O20" s="62">
        <f>IF($N20&lt;&gt;"",INDEX(Data!$B$9:$J$60,MATCH($N20,Data!$A$9:$A$60,0),MATCH(O$8,Data!$B$4:$J$4,0)),"")</f>
        <v>21088</v>
      </c>
      <c r="P20" s="62">
        <f>IF($N20&lt;&gt;"",INDEX(Data!$B$9:$J$60,MATCH($N20,Data!$A$9:$A$60,0),MATCH(P$8,Data!$B$4:$J$4,0)),"")</f>
        <v>1264</v>
      </c>
      <c r="Q20" s="62">
        <f>IF($N20&lt;&gt;"",INDEX(Data!$B$9:$J$60,MATCH($N20,Data!$A$9:$A$60,0),MATCH(Q$8,Data!$B$4:$J$4,0)),"")</f>
        <v>4828</v>
      </c>
      <c r="R20" s="62">
        <f>IF($N20&lt;&gt;"",INDEX(Data!$B$9:$J$60,MATCH($N20,Data!$A$9:$A$60,0),MATCH(R$8,Data!$B$4:$J$4,0)),"")</f>
        <v>19736</v>
      </c>
      <c r="S20" s="62">
        <f>IF($N20&lt;&gt;"",INDEX(Data!$B$9:$J$60,MATCH($N20,Data!$A$9:$A$60,0),MATCH(S$8,Data!$B$4:$J$4,0)),"")</f>
        <v>932</v>
      </c>
      <c r="T20" s="62">
        <f>IF($N20&lt;&gt;"",INDEX(Data!$B$9:$J$60,MATCH($N20,Data!$A$9:$A$60,0),MATCH(T$8,Data!$B$4:$J$4,0)),"")</f>
        <v>5940</v>
      </c>
      <c r="U20" s="62">
        <f>IF($N20&lt;&gt;"",INDEX(Data!$B$9:$J$60,MATCH($N20,Data!$A$9:$A$60,0),MATCH(U$8,Data!$B$4:$J$4,0)),"")</f>
        <v>19156</v>
      </c>
      <c r="V20" s="62">
        <f>IF($N20&lt;&gt;"",INDEX(Data!$B$9:$J$60,MATCH($N20,Data!$A$9:$A$60,0),MATCH(V$8,Data!$B$4:$J$4,0)),"")</f>
        <v>860</v>
      </c>
      <c r="W20" s="62">
        <f>IF($N20&lt;&gt;"",INDEX(Data!$B$9:$J$60,MATCH($N20,Data!$A$9:$A$60,0),MATCH(W$8,Data!$B$4:$J$4,0)),"")</f>
        <v>7744</v>
      </c>
      <c r="X20" s="44">
        <f t="shared" si="4"/>
        <v>6.8504256181597084E-2</v>
      </c>
      <c r="Y20" s="44">
        <f t="shared" si="5"/>
        <v>0.35622317596566522</v>
      </c>
      <c r="Z20" s="44">
        <f t="shared" si="6"/>
        <v>-0.18720538720538721</v>
      </c>
      <c r="AA20" s="44">
        <f t="shared" si="13"/>
        <v>0.10085612862810607</v>
      </c>
      <c r="AB20" s="44">
        <f t="shared" si="14"/>
        <v>0.4697674418604651</v>
      </c>
      <c r="AC20" s="44">
        <f t="shared" si="15"/>
        <v>-0.37654958677685951</v>
      </c>
      <c r="AF20" t="str">
        <f t="shared" si="16"/>
        <v>Tanox</v>
      </c>
      <c r="AG20" s="51">
        <f t="shared" si="17"/>
        <v>0.10085613062810607</v>
      </c>
      <c r="AH20" s="43"/>
      <c r="AI20" t="str">
        <f t="shared" si="7"/>
        <v>Tanox</v>
      </c>
      <c r="AJ20" s="62">
        <f t="shared" si="8"/>
        <v>21088</v>
      </c>
      <c r="AK20" s="62">
        <f t="shared" si="9"/>
        <v>19156</v>
      </c>
      <c r="AL20" s="62">
        <f t="shared" si="10"/>
        <v>21088</v>
      </c>
      <c r="AM20" t="str">
        <f t="shared" si="18"/>
        <v>10% | 21,088</v>
      </c>
      <c r="AP20" t="s">
        <v>19</v>
      </c>
      <c r="AQ20" s="62">
        <f>INDEX(Data!$K$9:$AT$60,MATCH(Calculation!$AP$11,Data!$A$9:$A$60,0),MATCH(Calculation!AQ$13&amp;Calculation!$AP20&amp;Calculation!AQ$14,INDEX(Data!$K$5:$AT$5&amp;Data!$K$6:$AT$6&amp;Data!$K$7:$AT$7,),0))</f>
        <v>8869.2000000000007</v>
      </c>
      <c r="AR20" s="62">
        <f>INDEX(Data!$K$9:$AT$60,MATCH(Calculation!$AP$11,Data!$A$9:$A$60,0),MATCH(Calculation!AR$13&amp;Calculation!$AP20&amp;Calculation!AR$14,INDEX(Data!$K$5:$AT$5&amp;Data!$K$6:$AT$6&amp;Data!$K$7:$AT$7,),0))</f>
        <v>7247.9000000000005</v>
      </c>
      <c r="AS20" s="62">
        <f>INDEX(Data!$K$9:$AT$60,MATCH(Calculation!$AP$11,Data!$A$9:$A$60,0),MATCH(Calculation!AS$13&amp;Calculation!$AP20&amp;Calculation!AS$14,INDEX(Data!$K$5:$AT$5&amp;Data!$K$6:$AT$6&amp;Data!$K$7:$AT$7,),0))</f>
        <v>7933.2</v>
      </c>
      <c r="AT20" s="43"/>
      <c r="AU20" s="43"/>
      <c r="AV20" t="str">
        <f t="shared" si="19"/>
        <v>J</v>
      </c>
      <c r="AW20">
        <f>IF(MATCH(cur_month,$AP$15:$AP$26,0)&gt;=ROWS($AP$15:AP20),AQ20,NA())</f>
        <v>8869.2000000000007</v>
      </c>
      <c r="AX20" s="62">
        <f t="shared" si="20"/>
        <v>7247.9000000000005</v>
      </c>
      <c r="AY20" s="62">
        <f t="shared" si="21"/>
        <v>7933.2</v>
      </c>
      <c r="AZ20">
        <f t="shared" si="22"/>
        <v>8869.2000000000007</v>
      </c>
    </row>
    <row r="21" spans="2:52" x14ac:dyDescent="0.15">
      <c r="B21" t="s">
        <v>25</v>
      </c>
      <c r="G21" s="38" t="s">
        <v>41</v>
      </c>
      <c r="H21" t="s">
        <v>57</v>
      </c>
      <c r="I21" s="39" t="s">
        <v>70</v>
      </c>
      <c r="M21">
        <f t="shared" si="11"/>
        <v>7</v>
      </c>
      <c r="N21" t="str">
        <f t="shared" si="12"/>
        <v>Minor Liar</v>
      </c>
      <c r="O21" s="62">
        <f>IF($N21&lt;&gt;"",INDEX(Data!$B$9:$J$60,MATCH($N21,Data!$A$9:$A$60,0),MATCH(O$8,Data!$B$4:$J$4,0)),"")</f>
        <v>23736.9</v>
      </c>
      <c r="P21" s="62">
        <f>IF($N21&lt;&gt;"",INDEX(Data!$B$9:$J$60,MATCH($N21,Data!$A$9:$A$60,0),MATCH(P$8,Data!$B$4:$J$4,0)),"")</f>
        <v>1012.0000000000001</v>
      </c>
      <c r="Q21" s="62">
        <f>IF($N21&lt;&gt;"",INDEX(Data!$B$9:$J$60,MATCH($N21,Data!$A$9:$A$60,0),MATCH(Q$8,Data!$B$4:$J$4,0)),"")</f>
        <v>8207.1</v>
      </c>
      <c r="R21" s="62">
        <f>IF($N21&lt;&gt;"",INDEX(Data!$B$9:$J$60,MATCH($N21,Data!$A$9:$A$60,0),MATCH(R$8,Data!$B$4:$J$4,0)),"")</f>
        <v>22754.600000000002</v>
      </c>
      <c r="S21" s="62">
        <f>IF($N21&lt;&gt;"",INDEX(Data!$B$9:$J$60,MATCH($N21,Data!$A$9:$A$60,0),MATCH(S$8,Data!$B$4:$J$4,0)),"")</f>
        <v>718.30000000000007</v>
      </c>
      <c r="T21" s="62">
        <f>IF($N21&lt;&gt;"",INDEX(Data!$B$9:$J$60,MATCH($N21,Data!$A$9:$A$60,0),MATCH(T$8,Data!$B$4:$J$4,0)),"")</f>
        <v>9447.9000000000015</v>
      </c>
      <c r="U21" s="62">
        <f>IF($N21&lt;&gt;"",INDEX(Data!$B$9:$J$60,MATCH($N21,Data!$A$9:$A$60,0),MATCH(U$8,Data!$B$4:$J$4,0)),"")</f>
        <v>22525.800000000003</v>
      </c>
      <c r="V21" s="62">
        <f>IF($N21&lt;&gt;"",INDEX(Data!$B$9:$J$60,MATCH($N21,Data!$A$9:$A$60,0),MATCH(V$8,Data!$B$4:$J$4,0)),"")</f>
        <v>723.80000000000007</v>
      </c>
      <c r="W21" s="62">
        <f>IF($N21&lt;&gt;"",INDEX(Data!$B$9:$J$60,MATCH($N21,Data!$A$9:$A$60,0),MATCH(W$8,Data!$B$4:$J$4,0)),"")</f>
        <v>8362.2000000000007</v>
      </c>
      <c r="X21" s="44">
        <f t="shared" si="4"/>
        <v>4.3169293241806017E-2</v>
      </c>
      <c r="Y21" s="44">
        <f t="shared" si="5"/>
        <v>0.40888208269525272</v>
      </c>
      <c r="Z21" s="44">
        <f t="shared" si="6"/>
        <v>-0.13133077191756909</v>
      </c>
      <c r="AA21" s="44">
        <f t="shared" si="13"/>
        <v>5.3765016114854895E-2</v>
      </c>
      <c r="AB21" s="44">
        <f t="shared" si="14"/>
        <v>0.3981762917933131</v>
      </c>
      <c r="AC21" s="44">
        <f t="shared" si="15"/>
        <v>-1.8547750591949529E-2</v>
      </c>
      <c r="AF21" t="str">
        <f t="shared" si="16"/>
        <v>Minor Liar</v>
      </c>
      <c r="AG21" s="51">
        <f t="shared" si="17"/>
        <v>5.3765018214854896E-2</v>
      </c>
      <c r="AH21" s="43"/>
      <c r="AP21" t="s">
        <v>25</v>
      </c>
      <c r="AQ21" s="62">
        <f>INDEX(Data!$K$9:$AT$60,MATCH(Calculation!$AP$11,Data!$A$9:$A$60,0),MATCH(Calculation!AQ$13&amp;Calculation!$AP21&amp;Calculation!AQ$14,INDEX(Data!$K$5:$AT$5&amp;Data!$K$6:$AT$6&amp;Data!$K$7:$AT$7,),0))</f>
        <v>0</v>
      </c>
      <c r="AR21" s="62">
        <f>INDEX(Data!$K$9:$AT$60,MATCH(Calculation!$AP$11,Data!$A$9:$A$60,0),MATCH(Calculation!AR$13&amp;Calculation!$AP21&amp;Calculation!AR$14,INDEX(Data!$K$5:$AT$5&amp;Data!$K$6:$AT$6&amp;Data!$K$7:$AT$7,),0))</f>
        <v>8752.2000000000007</v>
      </c>
      <c r="AS21" s="62">
        <f>INDEX(Data!$K$9:$AT$60,MATCH(Calculation!$AP$11,Data!$A$9:$A$60,0),MATCH(Calculation!AS$13&amp;Calculation!$AP21&amp;Calculation!AS$14,INDEX(Data!$K$5:$AT$5&amp;Data!$K$6:$AT$6&amp;Data!$K$7:$AT$7,),0))</f>
        <v>9431.5</v>
      </c>
      <c r="AT21" s="43"/>
      <c r="AU21" s="43"/>
      <c r="AV21" t="str">
        <f t="shared" si="19"/>
        <v>J</v>
      </c>
      <c r="AW21" t="e">
        <f>IF(MATCH(cur_month,$AP$15:$AP$26,0)&gt;=ROWS($AP$15:AP21),AQ21,NA())</f>
        <v>#N/A</v>
      </c>
      <c r="AX21" s="62">
        <f t="shared" si="20"/>
        <v>8752.2000000000007</v>
      </c>
      <c r="AY21" s="62">
        <f t="shared" si="21"/>
        <v>9431.5</v>
      </c>
      <c r="AZ21" t="e">
        <f t="shared" si="22"/>
        <v>#N/A</v>
      </c>
    </row>
    <row r="22" spans="2:52" x14ac:dyDescent="0.15">
      <c r="B22" t="s">
        <v>26</v>
      </c>
      <c r="G22" s="38" t="s">
        <v>42</v>
      </c>
      <c r="H22" t="s">
        <v>58</v>
      </c>
      <c r="I22" s="39" t="s">
        <v>71</v>
      </c>
      <c r="M22">
        <f t="shared" si="11"/>
        <v>8</v>
      </c>
      <c r="N22" t="str">
        <f t="shared" si="12"/>
        <v>Mosquit</v>
      </c>
      <c r="O22" s="62">
        <f>IF($N22&lt;&gt;"",INDEX(Data!$B$9:$J$60,MATCH($N22,Data!$A$9:$A$60,0),MATCH(O$8,Data!$B$4:$J$4,0)),"")</f>
        <v>6302</v>
      </c>
      <c r="P22" s="62">
        <f>IF($N22&lt;&gt;"",INDEX(Data!$B$9:$J$60,MATCH($N22,Data!$A$9:$A$60,0),MATCH(P$8,Data!$B$4:$J$4,0)),"")</f>
        <v>240</v>
      </c>
      <c r="Q22" s="62">
        <f>IF($N22&lt;&gt;"",INDEX(Data!$B$9:$J$60,MATCH($N22,Data!$A$9:$A$60,0),MATCH(Q$8,Data!$B$4:$J$4,0)),"")</f>
        <v>4655</v>
      </c>
      <c r="R22" s="62">
        <f>IF($N22&lt;&gt;"",INDEX(Data!$B$9:$J$60,MATCH($N22,Data!$A$9:$A$60,0),MATCH(R$8,Data!$B$4:$J$4,0)),"")</f>
        <v>5400</v>
      </c>
      <c r="S22" s="62">
        <f>IF($N22&lt;&gt;"",INDEX(Data!$B$9:$J$60,MATCH($N22,Data!$A$9:$A$60,0),MATCH(S$8,Data!$B$4:$J$4,0)),"")</f>
        <v>190</v>
      </c>
      <c r="T22" s="62">
        <f>IF($N22&lt;&gt;"",INDEX(Data!$B$9:$J$60,MATCH($N22,Data!$A$9:$A$60,0),MATCH(T$8,Data!$B$4:$J$4,0)),"")</f>
        <v>4096</v>
      </c>
      <c r="U22" s="62">
        <f>IF($N22&lt;&gt;"",INDEX(Data!$B$9:$J$60,MATCH($N22,Data!$A$9:$A$60,0),MATCH(U$8,Data!$B$4:$J$4,0)),"")</f>
        <v>5293</v>
      </c>
      <c r="V22" s="62">
        <f>IF($N22&lt;&gt;"",INDEX(Data!$B$9:$J$60,MATCH($N22,Data!$A$9:$A$60,0),MATCH(V$8,Data!$B$4:$J$4,0)),"")</f>
        <v>156</v>
      </c>
      <c r="W22" s="62">
        <f>IF($N22&lt;&gt;"",INDEX(Data!$B$9:$J$60,MATCH($N22,Data!$A$9:$A$60,0),MATCH(W$8,Data!$B$4:$J$4,0)),"")</f>
        <v>4514</v>
      </c>
      <c r="X22" s="44">
        <f t="shared" si="4"/>
        <v>0.16703703703703704</v>
      </c>
      <c r="Y22" s="44">
        <f t="shared" si="5"/>
        <v>0.26315789473684209</v>
      </c>
      <c r="Z22" s="44">
        <f t="shared" si="6"/>
        <v>0.136474609375</v>
      </c>
      <c r="AA22" s="44">
        <f t="shared" si="13"/>
        <v>0.19062913281692803</v>
      </c>
      <c r="AB22" s="44">
        <f t="shared" si="14"/>
        <v>0.53846153846153844</v>
      </c>
      <c r="AC22" s="44">
        <f t="shared" si="15"/>
        <v>3.1236154186973859E-2</v>
      </c>
      <c r="AF22" t="str">
        <f t="shared" si="16"/>
        <v>Mosquit</v>
      </c>
      <c r="AG22" s="51">
        <f t="shared" si="17"/>
        <v>0.19062913501692802</v>
      </c>
      <c r="AH22" s="43"/>
      <c r="AP22" t="s">
        <v>26</v>
      </c>
      <c r="AQ22" s="62">
        <f>INDEX(Data!$K$9:$AT$60,MATCH(Calculation!$AP$11,Data!$A$9:$A$60,0),MATCH(Calculation!AQ$13&amp;Calculation!$AP22&amp;Calculation!AQ$14,INDEX(Data!$K$5:$AT$5&amp;Data!$K$6:$AT$6&amp;Data!$K$7:$AT$7,),0))</f>
        <v>0</v>
      </c>
      <c r="AR22" s="62">
        <f>INDEX(Data!$K$9:$AT$60,MATCH(Calculation!$AP$11,Data!$A$9:$A$60,0),MATCH(Calculation!AR$13&amp;Calculation!$AP22&amp;Calculation!AR$14,INDEX(Data!$K$5:$AT$5&amp;Data!$K$6:$AT$6&amp;Data!$K$7:$AT$7,),0))</f>
        <v>9323.7999999999993</v>
      </c>
      <c r="AS22" s="62">
        <f>INDEX(Data!$K$9:$AT$60,MATCH(Calculation!$AP$11,Data!$A$9:$A$60,0),MATCH(Calculation!AS$13&amp;Calculation!$AP22&amp;Calculation!AS$14,INDEX(Data!$K$5:$AT$5&amp;Data!$K$6:$AT$6&amp;Data!$K$7:$AT$7,),0))</f>
        <v>9732.7999999999993</v>
      </c>
      <c r="AT22" s="43"/>
      <c r="AU22" s="43"/>
      <c r="AV22" t="str">
        <f t="shared" si="19"/>
        <v>A</v>
      </c>
      <c r="AW22" t="e">
        <f>IF(MATCH(cur_month,$AP$15:$AP$26,0)&gt;=ROWS($AP$15:AP22),AQ22,NA())</f>
        <v>#N/A</v>
      </c>
      <c r="AX22" s="62">
        <f t="shared" si="20"/>
        <v>9323.7999999999993</v>
      </c>
      <c r="AY22" s="62">
        <f t="shared" si="21"/>
        <v>9732.7999999999993</v>
      </c>
      <c r="AZ22" t="e">
        <f t="shared" si="22"/>
        <v>#N/A</v>
      </c>
    </row>
    <row r="23" spans="2:52" x14ac:dyDescent="0.15">
      <c r="B23" t="s">
        <v>27</v>
      </c>
      <c r="G23" s="38" t="s">
        <v>43</v>
      </c>
      <c r="H23" t="s">
        <v>59</v>
      </c>
      <c r="I23" s="39" t="s">
        <v>72</v>
      </c>
      <c r="M23">
        <f t="shared" si="11"/>
        <v>9</v>
      </c>
      <c r="N23" t="str">
        <f t="shared" si="12"/>
        <v>Atmos</v>
      </c>
      <c r="O23" s="62">
        <f>IF($N23&lt;&gt;"",INDEX(Data!$B$9:$J$60,MATCH($N23,Data!$A$9:$A$60,0),MATCH(O$8,Data!$B$4:$J$4,0)),"")</f>
        <v>10675</v>
      </c>
      <c r="P23" s="62">
        <f>IF($N23&lt;&gt;"",INDEX(Data!$B$9:$J$60,MATCH($N23,Data!$A$9:$A$60,0),MATCH(P$8,Data!$B$4:$J$4,0)),"")</f>
        <v>128</v>
      </c>
      <c r="Q23" s="62">
        <f>IF($N23&lt;&gt;"",INDEX(Data!$B$9:$J$60,MATCH($N23,Data!$A$9:$A$60,0),MATCH(Q$8,Data!$B$4:$J$4,0)),"")</f>
        <v>8210</v>
      </c>
      <c r="R23" s="62">
        <f>IF($N23&lt;&gt;"",INDEX(Data!$B$9:$J$60,MATCH($N23,Data!$A$9:$A$60,0),MATCH(R$8,Data!$B$4:$J$4,0)),"")</f>
        <v>10133</v>
      </c>
      <c r="S23" s="62">
        <f>IF($N23&lt;&gt;"",INDEX(Data!$B$9:$J$60,MATCH($N23,Data!$A$9:$A$60,0),MATCH(S$8,Data!$B$4:$J$4,0)),"")</f>
        <v>89</v>
      </c>
      <c r="T23" s="62">
        <f>IF($N23&lt;&gt;"",INDEX(Data!$B$9:$J$60,MATCH($N23,Data!$A$9:$A$60,0),MATCH(T$8,Data!$B$4:$J$4,0)),"")</f>
        <v>8179</v>
      </c>
      <c r="U23" s="62">
        <f>IF($N23&lt;&gt;"",INDEX(Data!$B$9:$J$60,MATCH($N23,Data!$A$9:$A$60,0),MATCH(U$8,Data!$B$4:$J$4,0)),"")</f>
        <v>11178</v>
      </c>
      <c r="V23" s="62">
        <f>IF($N23&lt;&gt;"",INDEX(Data!$B$9:$J$60,MATCH($N23,Data!$A$9:$A$60,0),MATCH(V$8,Data!$B$4:$J$4,0)),"")</f>
        <v>190</v>
      </c>
      <c r="W23" s="62">
        <f>IF($N23&lt;&gt;"",INDEX(Data!$B$9:$J$60,MATCH($N23,Data!$A$9:$A$60,0),MATCH(W$8,Data!$B$4:$J$4,0)),"")</f>
        <v>8010</v>
      </c>
      <c r="X23" s="44">
        <f t="shared" si="4"/>
        <v>5.34886015987368E-2</v>
      </c>
      <c r="Y23" s="44">
        <f t="shared" si="5"/>
        <v>0.43820224719101125</v>
      </c>
      <c r="Z23" s="44">
        <f t="shared" si="6"/>
        <v>3.7901944002934345E-3</v>
      </c>
      <c r="AA23" s="44">
        <f t="shared" si="13"/>
        <v>-4.4999105385578816E-2</v>
      </c>
      <c r="AB23" s="44">
        <f t="shared" si="14"/>
        <v>-0.32631578947368423</v>
      </c>
      <c r="AC23" s="44">
        <f t="shared" si="15"/>
        <v>2.4968789013732832E-2</v>
      </c>
      <c r="AF23" t="str">
        <f t="shared" si="16"/>
        <v>Atmos</v>
      </c>
      <c r="AG23" s="51">
        <f t="shared" si="17"/>
        <v>-4.4999103085578813E-2</v>
      </c>
      <c r="AH23" s="43"/>
      <c r="AP23" t="s">
        <v>27</v>
      </c>
      <c r="AQ23" s="62">
        <f>INDEX(Data!$K$9:$AT$60,MATCH(Calculation!$AP$11,Data!$A$9:$A$60,0),MATCH(Calculation!AQ$13&amp;Calculation!$AP23&amp;Calculation!AQ$14,INDEX(Data!$K$5:$AT$5&amp;Data!$K$6:$AT$6&amp;Data!$K$7:$AT$7,),0))</f>
        <v>0</v>
      </c>
      <c r="AR23" s="62">
        <f>INDEX(Data!$K$9:$AT$60,MATCH(Calculation!$AP$11,Data!$A$9:$A$60,0),MATCH(Calculation!AR$13&amp;Calculation!$AP23&amp;Calculation!AR$14,INDEX(Data!$K$5:$AT$5&amp;Data!$K$6:$AT$6&amp;Data!$K$7:$AT$7,),0))</f>
        <v>10122.5</v>
      </c>
      <c r="AS23" s="62">
        <f>INDEX(Data!$K$9:$AT$60,MATCH(Calculation!$AP$11,Data!$A$9:$A$60,0),MATCH(Calculation!AS$13&amp;Calculation!$AP23&amp;Calculation!AS$14,INDEX(Data!$K$5:$AT$5&amp;Data!$K$6:$AT$6&amp;Data!$K$7:$AT$7,),0))</f>
        <v>11196.7</v>
      </c>
      <c r="AT23" s="43"/>
      <c r="AU23" s="43"/>
      <c r="AV23" t="str">
        <f t="shared" si="19"/>
        <v>S</v>
      </c>
      <c r="AW23" t="e">
        <f>IF(MATCH(cur_month,$AP$15:$AP$26,0)&gt;=ROWS($AP$15:AP23),AQ23,NA())</f>
        <v>#N/A</v>
      </c>
      <c r="AX23" s="62">
        <f t="shared" si="20"/>
        <v>10122.5</v>
      </c>
      <c r="AY23" s="62">
        <f t="shared" si="21"/>
        <v>11196.7</v>
      </c>
      <c r="AZ23" t="e">
        <f t="shared" si="22"/>
        <v>#N/A</v>
      </c>
    </row>
    <row r="24" spans="2:52" x14ac:dyDescent="0.15">
      <c r="B24" t="s">
        <v>28</v>
      </c>
      <c r="G24" s="38" t="s">
        <v>44</v>
      </c>
      <c r="H24" t="s">
        <v>60</v>
      </c>
      <c r="I24" s="39" t="s">
        <v>73</v>
      </c>
      <c r="M24">
        <f t="shared" si="11"/>
        <v>10</v>
      </c>
      <c r="N24" t="str">
        <f t="shared" si="12"/>
        <v>Scrap</v>
      </c>
      <c r="O24" s="62">
        <f>IF($N24&lt;&gt;"",INDEX(Data!$B$9:$J$60,MATCH($N24,Data!$A$9:$A$60,0),MATCH(O$8,Data!$B$4:$J$4,0)),"")</f>
        <v>13307</v>
      </c>
      <c r="P24" s="62">
        <f>IF($N24&lt;&gt;"",INDEX(Data!$B$9:$J$60,MATCH($N24,Data!$A$9:$A$60,0),MATCH(P$8,Data!$B$4:$J$4,0)),"")</f>
        <v>862</v>
      </c>
      <c r="Q24" s="62">
        <f>IF($N24&lt;&gt;"",INDEX(Data!$B$9:$J$60,MATCH($N24,Data!$A$9:$A$60,0),MATCH(Q$8,Data!$B$4:$J$4,0)),"")</f>
        <v>5279</v>
      </c>
      <c r="R24" s="62">
        <f>IF($N24&lt;&gt;"",INDEX(Data!$B$9:$J$60,MATCH($N24,Data!$A$9:$A$60,0),MATCH(R$8,Data!$B$4:$J$4,0)),"")</f>
        <v>12127</v>
      </c>
      <c r="S24" s="62">
        <f>IF($N24&lt;&gt;"",INDEX(Data!$B$9:$J$60,MATCH($N24,Data!$A$9:$A$60,0),MATCH(S$8,Data!$B$4:$J$4,0)),"")</f>
        <v>742</v>
      </c>
      <c r="T24" s="62">
        <f>IF($N24&lt;&gt;"",INDEX(Data!$B$9:$J$60,MATCH($N24,Data!$A$9:$A$60,0),MATCH(T$8,Data!$B$4:$J$4,0)),"")</f>
        <v>5491</v>
      </c>
      <c r="U24" s="62">
        <f>IF($N24&lt;&gt;"",INDEX(Data!$B$9:$J$60,MATCH($N24,Data!$A$9:$A$60,0),MATCH(U$8,Data!$B$4:$J$4,0)),"")</f>
        <v>13448</v>
      </c>
      <c r="V24" s="62">
        <f>IF($N24&lt;&gt;"",INDEX(Data!$B$9:$J$60,MATCH($N24,Data!$A$9:$A$60,0),MATCH(V$8,Data!$B$4:$J$4,0)),"")</f>
        <v>905</v>
      </c>
      <c r="W24" s="62">
        <f>IF($N24&lt;&gt;"",INDEX(Data!$B$9:$J$60,MATCH($N24,Data!$A$9:$A$60,0),MATCH(W$8,Data!$B$4:$J$4,0)),"")</f>
        <v>6062</v>
      </c>
      <c r="X24" s="44">
        <f t="shared" si="4"/>
        <v>9.730353756081471E-2</v>
      </c>
      <c r="Y24" s="44">
        <f t="shared" si="5"/>
        <v>0.16172506738544473</v>
      </c>
      <c r="Z24" s="44">
        <f t="shared" si="6"/>
        <v>-3.8608632307412127E-2</v>
      </c>
      <c r="AA24" s="44">
        <f t="shared" si="13"/>
        <v>-1.0484830458060678E-2</v>
      </c>
      <c r="AB24" s="44">
        <f t="shared" si="14"/>
        <v>-4.7513812154696133E-2</v>
      </c>
      <c r="AC24" s="44">
        <f t="shared" si="15"/>
        <v>-0.12916529198284393</v>
      </c>
      <c r="AF24" t="str">
        <f t="shared" si="16"/>
        <v>Scrap</v>
      </c>
      <c r="AG24" s="51">
        <f t="shared" si="17"/>
        <v>-1.0484828058060678E-2</v>
      </c>
      <c r="AH24" s="43"/>
      <c r="AP24" t="s">
        <v>28</v>
      </c>
      <c r="AQ24" s="62">
        <f>INDEX(Data!$K$9:$AT$60,MATCH(Calculation!$AP$11,Data!$A$9:$A$60,0),MATCH(Calculation!AQ$13&amp;Calculation!$AP24&amp;Calculation!AQ$14,INDEX(Data!$K$5:$AT$5&amp;Data!$K$6:$AT$6&amp;Data!$K$7:$AT$7,),0))</f>
        <v>0</v>
      </c>
      <c r="AR24" s="62">
        <f>INDEX(Data!$K$9:$AT$60,MATCH(Calculation!$AP$11,Data!$A$9:$A$60,0),MATCH(Calculation!AR$13&amp;Calculation!$AP24&amp;Calculation!AR$14,INDEX(Data!$K$5:$AT$5&amp;Data!$K$6:$AT$6&amp;Data!$K$7:$AT$7,),0))</f>
        <v>10897.7</v>
      </c>
      <c r="AS24" s="62">
        <f>INDEX(Data!$K$9:$AT$60,MATCH(Calculation!$AP$11,Data!$A$9:$A$60,0),MATCH(Calculation!AS$13&amp;Calculation!$AP24&amp;Calculation!AS$14,INDEX(Data!$K$5:$AT$5&amp;Data!$K$6:$AT$6&amp;Data!$K$7:$AT$7,),0))</f>
        <v>12313.3</v>
      </c>
      <c r="AT24" s="43"/>
      <c r="AU24" s="43"/>
      <c r="AV24" t="str">
        <f t="shared" si="19"/>
        <v>O</v>
      </c>
      <c r="AW24" t="e">
        <f>IF(MATCH(cur_month,$AP$15:$AP$26,0)&gt;=ROWS($AP$15:AP24),AQ24,NA())</f>
        <v>#N/A</v>
      </c>
      <c r="AX24" s="62">
        <f t="shared" si="20"/>
        <v>10897.7</v>
      </c>
      <c r="AY24" s="62">
        <f t="shared" si="21"/>
        <v>12313.3</v>
      </c>
      <c r="AZ24" t="e">
        <f t="shared" si="22"/>
        <v>#N/A</v>
      </c>
    </row>
    <row r="25" spans="2:52" x14ac:dyDescent="0.15">
      <c r="B25" t="s">
        <v>29</v>
      </c>
      <c r="G25" s="38" t="s">
        <v>45</v>
      </c>
      <c r="H25" t="s">
        <v>61</v>
      </c>
      <c r="I25" s="39" t="s">
        <v>74</v>
      </c>
      <c r="M25">
        <f t="shared" si="11"/>
        <v>11</v>
      </c>
      <c r="N25" t="str">
        <f t="shared" si="12"/>
        <v>Motocyco</v>
      </c>
      <c r="O25" s="62">
        <f>IF($N25&lt;&gt;"",INDEX(Data!$B$9:$J$60,MATCH($N25,Data!$A$9:$A$60,0),MATCH(O$8,Data!$B$4:$J$4,0)),"")</f>
        <v>11182</v>
      </c>
      <c r="P25" s="62">
        <f>IF($N25&lt;&gt;"",INDEX(Data!$B$9:$J$60,MATCH($N25,Data!$A$9:$A$60,0),MATCH(P$8,Data!$B$4:$J$4,0)),"")</f>
        <v>1193</v>
      </c>
      <c r="Q25" s="62">
        <f>IF($N25&lt;&gt;"",INDEX(Data!$B$9:$J$60,MATCH($N25,Data!$A$9:$A$60,0),MATCH(Q$8,Data!$B$4:$J$4,0)),"")</f>
        <v>4311</v>
      </c>
      <c r="R25" s="62">
        <f>IF($N25&lt;&gt;"",INDEX(Data!$B$9:$J$60,MATCH($N25,Data!$A$9:$A$60,0),MATCH(R$8,Data!$B$4:$J$4,0)),"")</f>
        <v>10457</v>
      </c>
      <c r="S25" s="62">
        <f>IF($N25&lt;&gt;"",INDEX(Data!$B$9:$J$60,MATCH($N25,Data!$A$9:$A$60,0),MATCH(S$8,Data!$B$4:$J$4,0)),"")</f>
        <v>890</v>
      </c>
      <c r="T25" s="62">
        <f>IF($N25&lt;&gt;"",INDEX(Data!$B$9:$J$60,MATCH($N25,Data!$A$9:$A$60,0),MATCH(T$8,Data!$B$4:$J$4,0)),"")</f>
        <v>4595</v>
      </c>
      <c r="U25" s="62">
        <f>IF($N25&lt;&gt;"",INDEX(Data!$B$9:$J$60,MATCH($N25,Data!$A$9:$A$60,0),MATCH(U$8,Data!$B$4:$J$4,0)),"")</f>
        <v>9952</v>
      </c>
      <c r="V25" s="62">
        <f>IF($N25&lt;&gt;"",INDEX(Data!$B$9:$J$60,MATCH($N25,Data!$A$9:$A$60,0),MATCH(V$8,Data!$B$4:$J$4,0)),"")</f>
        <v>810</v>
      </c>
      <c r="W25" s="62">
        <f>IF($N25&lt;&gt;"",INDEX(Data!$B$9:$J$60,MATCH($N25,Data!$A$9:$A$60,0),MATCH(W$8,Data!$B$4:$J$4,0)),"")</f>
        <v>4298</v>
      </c>
      <c r="X25" s="44">
        <f t="shared" si="4"/>
        <v>6.9331548245194607E-2</v>
      </c>
      <c r="Y25" s="44">
        <f t="shared" si="5"/>
        <v>0.34044943820224721</v>
      </c>
      <c r="Z25" s="44">
        <f t="shared" si="6"/>
        <v>-6.1806311207834599E-2</v>
      </c>
      <c r="AA25" s="44">
        <f t="shared" si="13"/>
        <v>0.12359324758842444</v>
      </c>
      <c r="AB25" s="44">
        <f t="shared" si="14"/>
        <v>0.47283950617283949</v>
      </c>
      <c r="AC25" s="44">
        <f t="shared" si="15"/>
        <v>3.0246626337831549E-3</v>
      </c>
      <c r="AF25" t="str">
        <f t="shared" si="16"/>
        <v>Motocyco</v>
      </c>
      <c r="AG25" s="51">
        <f t="shared" si="17"/>
        <v>0.12359325008842444</v>
      </c>
      <c r="AH25" s="43"/>
      <c r="AP25" t="s">
        <v>29</v>
      </c>
      <c r="AQ25" s="62">
        <f>INDEX(Data!$K$9:$AT$60,MATCH(Calculation!$AP$11,Data!$A$9:$A$60,0),MATCH(Calculation!AQ$13&amp;Calculation!$AP25&amp;Calculation!AQ$14,INDEX(Data!$K$5:$AT$5&amp;Data!$K$6:$AT$6&amp;Data!$K$7:$AT$7,),0))</f>
        <v>0</v>
      </c>
      <c r="AR25" s="62">
        <f>INDEX(Data!$K$9:$AT$60,MATCH(Calculation!$AP$11,Data!$A$9:$A$60,0),MATCH(Calculation!AR$13&amp;Calculation!$AP25&amp;Calculation!AR$14,INDEX(Data!$K$5:$AT$5&amp;Data!$K$6:$AT$6&amp;Data!$K$7:$AT$7,),0))</f>
        <v>11759</v>
      </c>
      <c r="AS25" s="62">
        <f>INDEX(Data!$K$9:$AT$60,MATCH(Calculation!$AP$11,Data!$A$9:$A$60,0),MATCH(Calculation!AS$13&amp;Calculation!$AP25&amp;Calculation!AS$14,INDEX(Data!$K$5:$AT$5&amp;Data!$K$6:$AT$6&amp;Data!$K$7:$AT$7,),0))</f>
        <v>13505.4</v>
      </c>
      <c r="AT25" s="43"/>
      <c r="AU25" s="43"/>
      <c r="AV25" t="str">
        <f t="shared" si="19"/>
        <v>N</v>
      </c>
      <c r="AW25" t="e">
        <f>IF(MATCH(cur_month,$AP$15:$AP$26,0)&gt;=ROWS($AP$15:AP25),AQ25,NA())</f>
        <v>#N/A</v>
      </c>
      <c r="AX25" s="62">
        <f t="shared" si="20"/>
        <v>11759</v>
      </c>
      <c r="AY25" s="62">
        <f t="shared" si="21"/>
        <v>13505.4</v>
      </c>
      <c r="AZ25" t="e">
        <f t="shared" si="22"/>
        <v>#N/A</v>
      </c>
    </row>
    <row r="26" spans="2:52" x14ac:dyDescent="0.15">
      <c r="B26" t="s">
        <v>30</v>
      </c>
      <c r="G26" s="38" t="s">
        <v>46</v>
      </c>
      <c r="H26" t="s">
        <v>62</v>
      </c>
      <c r="I26" s="39" t="s">
        <v>75</v>
      </c>
      <c r="M26">
        <f t="shared" si="11"/>
        <v>12</v>
      </c>
      <c r="N26" t="str">
        <f t="shared" si="12"/>
        <v>Amplefio</v>
      </c>
      <c r="O26" s="62">
        <f>IF($N26&lt;&gt;"",INDEX(Data!$B$9:$J$60,MATCH($N26,Data!$A$9:$A$60,0),MATCH(O$8,Data!$B$4:$J$4,0)),"")</f>
        <v>8250</v>
      </c>
      <c r="P26" s="62">
        <f>IF($N26&lt;&gt;"",INDEX(Data!$B$9:$J$60,MATCH($N26,Data!$A$9:$A$60,0),MATCH(P$8,Data!$B$4:$J$4,0)),"")</f>
        <v>541</v>
      </c>
      <c r="Q26" s="62">
        <f>IF($N26&lt;&gt;"",INDEX(Data!$B$9:$J$60,MATCH($N26,Data!$A$9:$A$60,0),MATCH(Q$8,Data!$B$4:$J$4,0)),"")</f>
        <v>5923</v>
      </c>
      <c r="R26" s="62">
        <f>IF($N26&lt;&gt;"",INDEX(Data!$B$9:$J$60,MATCH($N26,Data!$A$9:$A$60,0),MATCH(R$8,Data!$B$4:$J$4,0)),"")</f>
        <v>8507</v>
      </c>
      <c r="S26" s="62">
        <f>IF($N26&lt;&gt;"",INDEX(Data!$B$9:$J$60,MATCH($N26,Data!$A$9:$A$60,0),MATCH(S$8,Data!$B$4:$J$4,0)),"")</f>
        <v>369</v>
      </c>
      <c r="T26" s="62">
        <f>IF($N26&lt;&gt;"",INDEX(Data!$B$9:$J$60,MATCH($N26,Data!$A$9:$A$60,0),MATCH(T$8,Data!$B$4:$J$4,0)),"")</f>
        <v>6622</v>
      </c>
      <c r="U26" s="62">
        <f>IF($N26&lt;&gt;"",INDEX(Data!$B$9:$J$60,MATCH($N26,Data!$A$9:$A$60,0),MATCH(U$8,Data!$B$4:$J$4,0)),"")</f>
        <v>8899</v>
      </c>
      <c r="V26" s="62">
        <f>IF($N26&lt;&gt;"",INDEX(Data!$B$9:$J$60,MATCH($N26,Data!$A$9:$A$60,0),MATCH(V$8,Data!$B$4:$J$4,0)),"")</f>
        <v>474</v>
      </c>
      <c r="W26" s="62">
        <f>IF($N26&lt;&gt;"",INDEX(Data!$B$9:$J$60,MATCH($N26,Data!$A$9:$A$60,0),MATCH(W$8,Data!$B$4:$J$4,0)),"")</f>
        <v>6231</v>
      </c>
      <c r="X26" s="44">
        <f t="shared" si="4"/>
        <v>-3.0210414952392149E-2</v>
      </c>
      <c r="Y26" s="44">
        <f t="shared" si="5"/>
        <v>0.46612466124661245</v>
      </c>
      <c r="Z26" s="44">
        <f t="shared" si="6"/>
        <v>-0.10555723346421021</v>
      </c>
      <c r="AA26" s="44">
        <f t="shared" si="13"/>
        <v>-7.2929542645241041E-2</v>
      </c>
      <c r="AB26" s="44">
        <f t="shared" si="14"/>
        <v>0.14135021097046413</v>
      </c>
      <c r="AC26" s="44">
        <f t="shared" si="15"/>
        <v>-4.9430268014764883E-2</v>
      </c>
      <c r="AF26" t="str">
        <f t="shared" si="16"/>
        <v>Amplefio</v>
      </c>
      <c r="AG26" s="51">
        <f t="shared" si="17"/>
        <v>-7.2929540045241048E-2</v>
      </c>
      <c r="AH26" s="43"/>
      <c r="AP26" t="s">
        <v>30</v>
      </c>
      <c r="AQ26" s="62">
        <f>INDEX(Data!$K$9:$AT$60,MATCH(Calculation!$AP$11,Data!$A$9:$A$60,0),MATCH(Calculation!AQ$13&amp;Calculation!$AP26&amp;Calculation!AQ$14,INDEX(Data!$K$5:$AT$5&amp;Data!$K$6:$AT$6&amp;Data!$K$7:$AT$7,),0))</f>
        <v>0</v>
      </c>
      <c r="AR26" s="62">
        <f>INDEX(Data!$K$9:$AT$60,MATCH(Calculation!$AP$11,Data!$A$9:$A$60,0),MATCH(Calculation!AR$13&amp;Calculation!$AP26&amp;Calculation!AR$14,INDEX(Data!$K$5:$AT$5&amp;Data!$K$6:$AT$6&amp;Data!$K$7:$AT$7,),0))</f>
        <v>11946</v>
      </c>
      <c r="AS26" s="62">
        <f>INDEX(Data!$K$9:$AT$60,MATCH(Calculation!$AP$11,Data!$A$9:$A$60,0),MATCH(Calculation!AS$13&amp;Calculation!$AP26&amp;Calculation!AS$14,INDEX(Data!$K$5:$AT$5&amp;Data!$K$6:$AT$6&amp;Data!$K$7:$AT$7,),0))</f>
        <v>13380.699999999999</v>
      </c>
      <c r="AT26" s="43"/>
      <c r="AU26" s="43"/>
      <c r="AV26" t="str">
        <f t="shared" si="19"/>
        <v>D</v>
      </c>
      <c r="AW26" t="e">
        <f>IF(MATCH(cur_month,$AP$15:$AP$26,0)&gt;=ROWS($AP$15:AP26),AQ26,NA())</f>
        <v>#N/A</v>
      </c>
      <c r="AX26" s="62">
        <f t="shared" si="20"/>
        <v>11946</v>
      </c>
      <c r="AY26" s="62">
        <f t="shared" si="21"/>
        <v>13380.699999999999</v>
      </c>
      <c r="AZ26" t="e">
        <f t="shared" si="22"/>
        <v>#N/A</v>
      </c>
    </row>
    <row r="27" spans="2:52" x14ac:dyDescent="0.15">
      <c r="G27" s="38" t="s">
        <v>47</v>
      </c>
      <c r="H27" t="s">
        <v>84</v>
      </c>
      <c r="I27" s="39" t="s">
        <v>76</v>
      </c>
      <c r="M27">
        <f t="shared" si="11"/>
        <v>13</v>
      </c>
      <c r="N27" t="str">
        <f t="shared" si="12"/>
        <v>Strex</v>
      </c>
      <c r="O27" s="62">
        <f>IF($N27&lt;&gt;"",INDEX(Data!$B$9:$J$60,MATCH($N27,Data!$A$9:$A$60,0),MATCH(O$8,Data!$B$4:$J$4,0)),"")</f>
        <v>8152</v>
      </c>
      <c r="P27" s="62">
        <f>IF($N27&lt;&gt;"",INDEX(Data!$B$9:$J$60,MATCH($N27,Data!$A$9:$A$60,0),MATCH(P$8,Data!$B$4:$J$4,0)),"")</f>
        <v>258</v>
      </c>
      <c r="Q27" s="62">
        <f>IF($N27&lt;&gt;"",INDEX(Data!$B$9:$J$60,MATCH($N27,Data!$A$9:$A$60,0),MATCH(Q$8,Data!$B$4:$J$4,0)),"")</f>
        <v>5700</v>
      </c>
      <c r="R27" s="62">
        <f>IF($N27&lt;&gt;"",INDEX(Data!$B$9:$J$60,MATCH($N27,Data!$A$9:$A$60,0),MATCH(R$8,Data!$B$4:$J$4,0)),"")</f>
        <v>10832</v>
      </c>
      <c r="S27" s="62">
        <f>IF($N27&lt;&gt;"",INDEX(Data!$B$9:$J$60,MATCH($N27,Data!$A$9:$A$60,0),MATCH(S$8,Data!$B$4:$J$4,0)),"")</f>
        <v>577</v>
      </c>
      <c r="T27" s="62">
        <f>IF($N27&lt;&gt;"",INDEX(Data!$B$9:$J$60,MATCH($N27,Data!$A$9:$A$60,0),MATCH(T$8,Data!$B$4:$J$4,0)),"")</f>
        <v>5100</v>
      </c>
      <c r="U27" s="62">
        <f>IF($N27&lt;&gt;"",INDEX(Data!$B$9:$J$60,MATCH($N27,Data!$A$9:$A$60,0),MATCH(U$8,Data!$B$4:$J$4,0)),"")</f>
        <v>9698</v>
      </c>
      <c r="V27" s="62">
        <f>IF($N27&lt;&gt;"",INDEX(Data!$B$9:$J$60,MATCH($N27,Data!$A$9:$A$60,0),MATCH(V$8,Data!$B$4:$J$4,0)),"")</f>
        <v>350</v>
      </c>
      <c r="W27" s="62">
        <f>IF($N27&lt;&gt;"",INDEX(Data!$B$9:$J$60,MATCH($N27,Data!$A$9:$A$60,0),MATCH(W$8,Data!$B$4:$J$4,0)),"")</f>
        <v>5200</v>
      </c>
      <c r="X27" s="44">
        <f t="shared" si="4"/>
        <v>-0.24741506646971936</v>
      </c>
      <c r="Y27" s="44">
        <f t="shared" si="5"/>
        <v>-0.55285961871750433</v>
      </c>
      <c r="Z27" s="44">
        <f t="shared" si="6"/>
        <v>0.11764705882352941</v>
      </c>
      <c r="AA27" s="44">
        <f t="shared" si="13"/>
        <v>-0.15941431222932564</v>
      </c>
      <c r="AB27" s="44">
        <f t="shared" si="14"/>
        <v>-0.26285714285714284</v>
      </c>
      <c r="AC27" s="44">
        <f t="shared" si="15"/>
        <v>9.6153846153846159E-2</v>
      </c>
      <c r="AF27" t="str">
        <f t="shared" si="16"/>
        <v>Strex</v>
      </c>
      <c r="AG27" s="51">
        <f t="shared" si="17"/>
        <v>-0.15941430952932564</v>
      </c>
      <c r="AH27" s="43"/>
    </row>
    <row r="28" spans="2:52" x14ac:dyDescent="0.15">
      <c r="G28" s="38" t="s">
        <v>48</v>
      </c>
      <c r="H28" t="s">
        <v>84</v>
      </c>
      <c r="I28" s="39" t="s">
        <v>84</v>
      </c>
      <c r="M28" t="str">
        <f t="shared" si="11"/>
        <v/>
      </c>
      <c r="N28" t="str">
        <f t="shared" si="12"/>
        <v/>
      </c>
      <c r="O28" s="62" t="str">
        <f>IF($N28&lt;&gt;"",INDEX(Data!$B$9:$J$60,MATCH($N28,Data!$A$9:$A$60,0),MATCH(O$8,Data!$B$4:$J$4,0)),"")</f>
        <v/>
      </c>
      <c r="P28" s="62" t="str">
        <f>IF($N28&lt;&gt;"",INDEX(Data!$B$9:$J$60,MATCH($N28,Data!$A$9:$A$60,0),MATCH(P$8,Data!$B$4:$J$4,0)),"")</f>
        <v/>
      </c>
      <c r="Q28" s="62" t="str">
        <f>IF($N28&lt;&gt;"",INDEX(Data!$B$9:$J$60,MATCH($N28,Data!$A$9:$A$60,0),MATCH(Q$8,Data!$B$4:$J$4,0)),"")</f>
        <v/>
      </c>
      <c r="R28" s="62" t="str">
        <f>IF($N28&lt;&gt;"",INDEX(Data!$B$9:$J$60,MATCH($N28,Data!$A$9:$A$60,0),MATCH(R$8,Data!$B$4:$J$4,0)),"")</f>
        <v/>
      </c>
      <c r="S28" s="62" t="str">
        <f>IF($N28&lt;&gt;"",INDEX(Data!$B$9:$J$60,MATCH($N28,Data!$A$9:$A$60,0),MATCH(S$8,Data!$B$4:$J$4,0)),"")</f>
        <v/>
      </c>
      <c r="T28" s="62" t="str">
        <f>IF($N28&lt;&gt;"",INDEX(Data!$B$9:$J$60,MATCH($N28,Data!$A$9:$A$60,0),MATCH(T$8,Data!$B$4:$J$4,0)),"")</f>
        <v/>
      </c>
      <c r="U28" s="62" t="str">
        <f>IF($N28&lt;&gt;"",INDEX(Data!$B$9:$J$60,MATCH($N28,Data!$A$9:$A$60,0),MATCH(U$8,Data!$B$4:$J$4,0)),"")</f>
        <v/>
      </c>
      <c r="V28" s="62" t="str">
        <f>IF($N28&lt;&gt;"",INDEX(Data!$B$9:$J$60,MATCH($N28,Data!$A$9:$A$60,0),MATCH(V$8,Data!$B$4:$J$4,0)),"")</f>
        <v/>
      </c>
      <c r="W28" s="62" t="str">
        <f>IF($N28&lt;&gt;"",INDEX(Data!$B$9:$J$60,MATCH($N28,Data!$A$9:$A$60,0),MATCH(W$8,Data!$B$4:$J$4,0)),"")</f>
        <v/>
      </c>
      <c r="X28" s="44" t="str">
        <f t="shared" si="4"/>
        <v/>
      </c>
      <c r="Y28" s="44" t="str">
        <f t="shared" si="5"/>
        <v/>
      </c>
      <c r="Z28" s="44" t="str">
        <f t="shared" si="6"/>
        <v/>
      </c>
      <c r="AA28" s="44" t="str">
        <f t="shared" si="13"/>
        <v/>
      </c>
      <c r="AB28" s="44" t="str">
        <f t="shared" si="14"/>
        <v/>
      </c>
      <c r="AC28" s="44" t="str">
        <f t="shared" si="15"/>
        <v/>
      </c>
      <c r="AF28" t="str">
        <f t="shared" si="16"/>
        <v/>
      </c>
      <c r="AG28" s="51" t="str">
        <f t="shared" si="17"/>
        <v/>
      </c>
      <c r="AH28" s="43"/>
    </row>
    <row r="29" spans="2:52" x14ac:dyDescent="0.15">
      <c r="G29" s="38" t="s">
        <v>49</v>
      </c>
      <c r="H29" t="s">
        <v>84</v>
      </c>
      <c r="I29" s="39" t="s">
        <v>84</v>
      </c>
      <c r="M29" t="str">
        <f t="shared" si="11"/>
        <v/>
      </c>
      <c r="N29" t="str">
        <f t="shared" si="12"/>
        <v/>
      </c>
      <c r="O29" s="62" t="str">
        <f>IF($N29&lt;&gt;"",INDEX(Data!$B$9:$J$60,MATCH($N29,Data!$A$9:$A$60,0),MATCH(O$8,Data!$B$4:$J$4,0)),"")</f>
        <v/>
      </c>
      <c r="P29" s="62" t="str">
        <f>IF($N29&lt;&gt;"",INDEX(Data!$B$9:$J$60,MATCH($N29,Data!$A$9:$A$60,0),MATCH(P$8,Data!$B$4:$J$4,0)),"")</f>
        <v/>
      </c>
      <c r="Q29" s="62" t="str">
        <f>IF($N29&lt;&gt;"",INDEX(Data!$B$9:$J$60,MATCH($N29,Data!$A$9:$A$60,0),MATCH(Q$8,Data!$B$4:$J$4,0)),"")</f>
        <v/>
      </c>
      <c r="R29" s="62" t="str">
        <f>IF($N29&lt;&gt;"",INDEX(Data!$B$9:$J$60,MATCH($N29,Data!$A$9:$A$60,0),MATCH(R$8,Data!$B$4:$J$4,0)),"")</f>
        <v/>
      </c>
      <c r="S29" s="62" t="str">
        <f>IF($N29&lt;&gt;"",INDEX(Data!$B$9:$J$60,MATCH($N29,Data!$A$9:$A$60,0),MATCH(S$8,Data!$B$4:$J$4,0)),"")</f>
        <v/>
      </c>
      <c r="T29" s="62" t="str">
        <f>IF($N29&lt;&gt;"",INDEX(Data!$B$9:$J$60,MATCH($N29,Data!$A$9:$A$60,0),MATCH(T$8,Data!$B$4:$J$4,0)),"")</f>
        <v/>
      </c>
      <c r="U29" s="62" t="str">
        <f>IF($N29&lt;&gt;"",INDEX(Data!$B$9:$J$60,MATCH($N29,Data!$A$9:$A$60,0),MATCH(U$8,Data!$B$4:$J$4,0)),"")</f>
        <v/>
      </c>
      <c r="V29" s="62" t="str">
        <f>IF($N29&lt;&gt;"",INDEX(Data!$B$9:$J$60,MATCH($N29,Data!$A$9:$A$60,0),MATCH(V$8,Data!$B$4:$J$4,0)),"")</f>
        <v/>
      </c>
      <c r="W29" s="62" t="str">
        <f>IF($N29&lt;&gt;"",INDEX(Data!$B$9:$J$60,MATCH($N29,Data!$A$9:$A$60,0),MATCH(W$8,Data!$B$4:$J$4,0)),"")</f>
        <v/>
      </c>
      <c r="X29" s="44" t="str">
        <f t="shared" si="4"/>
        <v/>
      </c>
      <c r="Y29" s="44" t="str">
        <f t="shared" si="5"/>
        <v/>
      </c>
      <c r="Z29" s="44" t="str">
        <f t="shared" si="6"/>
        <v/>
      </c>
      <c r="AA29" s="44" t="str">
        <f t="shared" si="13"/>
        <v/>
      </c>
      <c r="AB29" s="44" t="str">
        <f t="shared" si="14"/>
        <v/>
      </c>
      <c r="AC29" s="44" t="str">
        <f t="shared" si="15"/>
        <v/>
      </c>
      <c r="AF29" t="str">
        <f t="shared" si="16"/>
        <v/>
      </c>
      <c r="AG29" s="51" t="str">
        <f t="shared" si="17"/>
        <v/>
      </c>
      <c r="AH29" s="43"/>
    </row>
    <row r="30" spans="2:52" x14ac:dyDescent="0.15">
      <c r="G30" s="38"/>
      <c r="I30" s="39"/>
      <c r="M30" t="str">
        <f t="shared" si="11"/>
        <v/>
      </c>
      <c r="N30" t="str">
        <f t="shared" si="12"/>
        <v/>
      </c>
      <c r="O30" s="62" t="str">
        <f>IF($N30&lt;&gt;"",INDEX(Data!$B$9:$J$60,MATCH($N30,Data!$A$9:$A$60,0),MATCH(O$8,Data!$B$4:$J$4,0)),"")</f>
        <v/>
      </c>
      <c r="P30" s="62" t="str">
        <f>IF($N30&lt;&gt;"",INDEX(Data!$B$9:$J$60,MATCH($N30,Data!$A$9:$A$60,0),MATCH(P$8,Data!$B$4:$J$4,0)),"")</f>
        <v/>
      </c>
      <c r="Q30" s="62" t="str">
        <f>IF($N30&lt;&gt;"",INDEX(Data!$B$9:$J$60,MATCH($N30,Data!$A$9:$A$60,0),MATCH(Q$8,Data!$B$4:$J$4,0)),"")</f>
        <v/>
      </c>
      <c r="R30" s="62" t="str">
        <f>IF($N30&lt;&gt;"",INDEX(Data!$B$9:$J$60,MATCH($N30,Data!$A$9:$A$60,0),MATCH(R$8,Data!$B$4:$J$4,0)),"")</f>
        <v/>
      </c>
      <c r="S30" s="62" t="str">
        <f>IF($N30&lt;&gt;"",INDEX(Data!$B$9:$J$60,MATCH($N30,Data!$A$9:$A$60,0),MATCH(S$8,Data!$B$4:$J$4,0)),"")</f>
        <v/>
      </c>
      <c r="T30" s="62" t="str">
        <f>IF($N30&lt;&gt;"",INDEX(Data!$B$9:$J$60,MATCH($N30,Data!$A$9:$A$60,0),MATCH(T$8,Data!$B$4:$J$4,0)),"")</f>
        <v/>
      </c>
      <c r="U30" s="62" t="str">
        <f>IF($N30&lt;&gt;"",INDEX(Data!$B$9:$J$60,MATCH($N30,Data!$A$9:$A$60,0),MATCH(U$8,Data!$B$4:$J$4,0)),"")</f>
        <v/>
      </c>
      <c r="V30" s="62" t="str">
        <f>IF($N30&lt;&gt;"",INDEX(Data!$B$9:$J$60,MATCH($N30,Data!$A$9:$A$60,0),MATCH(V$8,Data!$B$4:$J$4,0)),"")</f>
        <v/>
      </c>
      <c r="W30" s="62" t="str">
        <f>IF($N30&lt;&gt;"",INDEX(Data!$B$9:$J$60,MATCH($N30,Data!$A$9:$A$60,0),MATCH(W$8,Data!$B$4:$J$4,0)),"")</f>
        <v/>
      </c>
      <c r="X30" s="44" t="str">
        <f t="shared" si="4"/>
        <v/>
      </c>
      <c r="Y30" s="44" t="str">
        <f t="shared" si="5"/>
        <v/>
      </c>
      <c r="Z30" s="44" t="str">
        <f t="shared" si="6"/>
        <v/>
      </c>
      <c r="AA30" s="44" t="str">
        <f t="shared" si="13"/>
        <v/>
      </c>
      <c r="AB30" s="44" t="str">
        <f t="shared" si="14"/>
        <v/>
      </c>
      <c r="AC30" s="44" t="str">
        <f t="shared" si="15"/>
        <v/>
      </c>
      <c r="AF30" t="str">
        <f t="shared" si="16"/>
        <v/>
      </c>
      <c r="AG30" s="51" t="str">
        <f t="shared" si="17"/>
        <v/>
      </c>
      <c r="AH30" s="43"/>
    </row>
    <row r="31" spans="2:52" x14ac:dyDescent="0.15">
      <c r="G31" s="38"/>
      <c r="I31" s="39"/>
      <c r="M31" t="str">
        <f t="shared" si="11"/>
        <v/>
      </c>
      <c r="N31" t="str">
        <f t="shared" si="12"/>
        <v/>
      </c>
      <c r="O31" s="62" t="str">
        <f>IF($N31&lt;&gt;"",INDEX(Data!$B$9:$J$60,MATCH($N31,Data!$A$9:$A$60,0),MATCH(O$8,Data!$B$4:$J$4,0)),"")</f>
        <v/>
      </c>
      <c r="P31" s="62" t="str">
        <f>IF($N31&lt;&gt;"",INDEX(Data!$B$9:$J$60,MATCH($N31,Data!$A$9:$A$60,0),MATCH(P$8,Data!$B$4:$J$4,0)),"")</f>
        <v/>
      </c>
      <c r="Q31" s="62" t="str">
        <f>IF($N31&lt;&gt;"",INDEX(Data!$B$9:$J$60,MATCH($N31,Data!$A$9:$A$60,0),MATCH(Q$8,Data!$B$4:$J$4,0)),"")</f>
        <v/>
      </c>
      <c r="R31" s="62" t="str">
        <f>IF($N31&lt;&gt;"",INDEX(Data!$B$9:$J$60,MATCH($N31,Data!$A$9:$A$60,0),MATCH(R$8,Data!$B$4:$J$4,0)),"")</f>
        <v/>
      </c>
      <c r="S31" s="62" t="str">
        <f>IF($N31&lt;&gt;"",INDEX(Data!$B$9:$J$60,MATCH($N31,Data!$A$9:$A$60,0),MATCH(S$8,Data!$B$4:$J$4,0)),"")</f>
        <v/>
      </c>
      <c r="T31" s="62" t="str">
        <f>IF($N31&lt;&gt;"",INDEX(Data!$B$9:$J$60,MATCH($N31,Data!$A$9:$A$60,0),MATCH(T$8,Data!$B$4:$J$4,0)),"")</f>
        <v/>
      </c>
      <c r="U31" s="62" t="str">
        <f>IF($N31&lt;&gt;"",INDEX(Data!$B$9:$J$60,MATCH($N31,Data!$A$9:$A$60,0),MATCH(U$8,Data!$B$4:$J$4,0)),"")</f>
        <v/>
      </c>
      <c r="V31" s="62" t="str">
        <f>IF($N31&lt;&gt;"",INDEX(Data!$B$9:$J$60,MATCH($N31,Data!$A$9:$A$60,0),MATCH(V$8,Data!$B$4:$J$4,0)),"")</f>
        <v/>
      </c>
      <c r="W31" s="62" t="str">
        <f>IF($N31&lt;&gt;"",INDEX(Data!$B$9:$J$60,MATCH($N31,Data!$A$9:$A$60,0),MATCH(W$8,Data!$B$4:$J$4,0)),"")</f>
        <v/>
      </c>
      <c r="X31" s="44" t="str">
        <f t="shared" si="4"/>
        <v/>
      </c>
      <c r="Y31" s="44" t="str">
        <f t="shared" si="5"/>
        <v/>
      </c>
      <c r="Z31" s="44" t="str">
        <f t="shared" si="6"/>
        <v/>
      </c>
      <c r="AA31" s="44" t="str">
        <f t="shared" si="13"/>
        <v/>
      </c>
      <c r="AB31" s="44" t="str">
        <f t="shared" si="14"/>
        <v/>
      </c>
      <c r="AC31" s="44" t="str">
        <f t="shared" si="15"/>
        <v/>
      </c>
      <c r="AF31" t="str">
        <f t="shared" si="16"/>
        <v/>
      </c>
      <c r="AG31" s="51" t="str">
        <f t="shared" si="17"/>
        <v/>
      </c>
      <c r="AH31" s="43"/>
    </row>
    <row r="32" spans="2:52" x14ac:dyDescent="0.15">
      <c r="G32" s="38"/>
      <c r="I32" s="39"/>
      <c r="M32" t="str">
        <f t="shared" si="11"/>
        <v/>
      </c>
      <c r="N32" t="str">
        <f t="shared" si="12"/>
        <v/>
      </c>
      <c r="O32" s="62" t="str">
        <f>IF($N32&lt;&gt;"",INDEX(Data!$B$9:$J$60,MATCH($N32,Data!$A$9:$A$60,0),MATCH(O$8,Data!$B$4:$J$4,0)),"")</f>
        <v/>
      </c>
      <c r="P32" s="62" t="str">
        <f>IF($N32&lt;&gt;"",INDEX(Data!$B$9:$J$60,MATCH($N32,Data!$A$9:$A$60,0),MATCH(P$8,Data!$B$4:$J$4,0)),"")</f>
        <v/>
      </c>
      <c r="Q32" s="62" t="str">
        <f>IF($N32&lt;&gt;"",INDEX(Data!$B$9:$J$60,MATCH($N32,Data!$A$9:$A$60,0),MATCH(Q$8,Data!$B$4:$J$4,0)),"")</f>
        <v/>
      </c>
      <c r="R32" s="62" t="str">
        <f>IF($N32&lt;&gt;"",INDEX(Data!$B$9:$J$60,MATCH($N32,Data!$A$9:$A$60,0),MATCH(R$8,Data!$B$4:$J$4,0)),"")</f>
        <v/>
      </c>
      <c r="S32" s="62" t="str">
        <f>IF($N32&lt;&gt;"",INDEX(Data!$B$9:$J$60,MATCH($N32,Data!$A$9:$A$60,0),MATCH(S$8,Data!$B$4:$J$4,0)),"")</f>
        <v/>
      </c>
      <c r="T32" s="62" t="str">
        <f>IF($N32&lt;&gt;"",INDEX(Data!$B$9:$J$60,MATCH($N32,Data!$A$9:$A$60,0),MATCH(T$8,Data!$B$4:$J$4,0)),"")</f>
        <v/>
      </c>
      <c r="U32" s="62" t="str">
        <f>IF($N32&lt;&gt;"",INDEX(Data!$B$9:$J$60,MATCH($N32,Data!$A$9:$A$60,0),MATCH(U$8,Data!$B$4:$J$4,0)),"")</f>
        <v/>
      </c>
      <c r="V32" s="62" t="str">
        <f>IF($N32&lt;&gt;"",INDEX(Data!$B$9:$J$60,MATCH($N32,Data!$A$9:$A$60,0),MATCH(V$8,Data!$B$4:$J$4,0)),"")</f>
        <v/>
      </c>
      <c r="W32" s="62" t="str">
        <f>IF($N32&lt;&gt;"",INDEX(Data!$B$9:$J$60,MATCH($N32,Data!$A$9:$A$60,0),MATCH(W$8,Data!$B$4:$J$4,0)),"")</f>
        <v/>
      </c>
      <c r="X32" s="44" t="str">
        <f t="shared" si="4"/>
        <v/>
      </c>
      <c r="Y32" s="44" t="str">
        <f t="shared" si="5"/>
        <v/>
      </c>
      <c r="Z32" s="44" t="str">
        <f t="shared" si="6"/>
        <v/>
      </c>
      <c r="AA32" s="44" t="str">
        <f t="shared" si="13"/>
        <v/>
      </c>
      <c r="AB32" s="44" t="str">
        <f t="shared" si="14"/>
        <v/>
      </c>
      <c r="AC32" s="44" t="str">
        <f t="shared" si="15"/>
        <v/>
      </c>
      <c r="AF32" t="str">
        <f t="shared" si="16"/>
        <v/>
      </c>
      <c r="AG32" s="51" t="str">
        <f t="shared" si="17"/>
        <v/>
      </c>
      <c r="AH32" s="43"/>
    </row>
    <row r="33" spans="7:34" x14ac:dyDescent="0.15">
      <c r="G33" s="38"/>
      <c r="I33" s="39"/>
      <c r="M33" t="str">
        <f t="shared" si="11"/>
        <v/>
      </c>
      <c r="N33" t="str">
        <f t="shared" si="12"/>
        <v/>
      </c>
      <c r="O33" s="62" t="str">
        <f>IF($N33&lt;&gt;"",INDEX(Data!$B$9:$J$60,MATCH($N33,Data!$A$9:$A$60,0),MATCH(O$8,Data!$B$4:$J$4,0)),"")</f>
        <v/>
      </c>
      <c r="P33" s="62" t="str">
        <f>IF($N33&lt;&gt;"",INDEX(Data!$B$9:$J$60,MATCH($N33,Data!$A$9:$A$60,0),MATCH(P$8,Data!$B$4:$J$4,0)),"")</f>
        <v/>
      </c>
      <c r="Q33" s="62" t="str">
        <f>IF($N33&lt;&gt;"",INDEX(Data!$B$9:$J$60,MATCH($N33,Data!$A$9:$A$60,0),MATCH(Q$8,Data!$B$4:$J$4,0)),"")</f>
        <v/>
      </c>
      <c r="R33" s="62" t="str">
        <f>IF($N33&lt;&gt;"",INDEX(Data!$B$9:$J$60,MATCH($N33,Data!$A$9:$A$60,0),MATCH(R$8,Data!$B$4:$J$4,0)),"")</f>
        <v/>
      </c>
      <c r="S33" s="62" t="str">
        <f>IF($N33&lt;&gt;"",INDEX(Data!$B$9:$J$60,MATCH($N33,Data!$A$9:$A$60,0),MATCH(S$8,Data!$B$4:$J$4,0)),"")</f>
        <v/>
      </c>
      <c r="T33" s="62" t="str">
        <f>IF($N33&lt;&gt;"",INDEX(Data!$B$9:$J$60,MATCH($N33,Data!$A$9:$A$60,0),MATCH(T$8,Data!$B$4:$J$4,0)),"")</f>
        <v/>
      </c>
      <c r="U33" s="62" t="str">
        <f>IF($N33&lt;&gt;"",INDEX(Data!$B$9:$J$60,MATCH($N33,Data!$A$9:$A$60,0),MATCH(U$8,Data!$B$4:$J$4,0)),"")</f>
        <v/>
      </c>
      <c r="V33" s="62" t="str">
        <f>IF($N33&lt;&gt;"",INDEX(Data!$B$9:$J$60,MATCH($N33,Data!$A$9:$A$60,0),MATCH(V$8,Data!$B$4:$J$4,0)),"")</f>
        <v/>
      </c>
      <c r="W33" s="62" t="str">
        <f>IF($N33&lt;&gt;"",INDEX(Data!$B$9:$J$60,MATCH($N33,Data!$A$9:$A$60,0),MATCH(W$8,Data!$B$4:$J$4,0)),"")</f>
        <v/>
      </c>
      <c r="X33" s="44" t="str">
        <f t="shared" si="4"/>
        <v/>
      </c>
      <c r="Y33" s="44" t="str">
        <f t="shared" si="5"/>
        <v/>
      </c>
      <c r="Z33" s="44" t="str">
        <f t="shared" si="6"/>
        <v/>
      </c>
      <c r="AA33" s="44" t="str">
        <f t="shared" si="13"/>
        <v/>
      </c>
      <c r="AB33" s="44" t="str">
        <f t="shared" si="14"/>
        <v/>
      </c>
      <c r="AC33" s="44" t="str">
        <f>IF($N33&lt;&gt;"",(Q33-W33)/W33,"")</f>
        <v/>
      </c>
      <c r="AF33" t="str">
        <f t="shared" si="16"/>
        <v/>
      </c>
      <c r="AG33" s="51" t="str">
        <f t="shared" si="17"/>
        <v/>
      </c>
      <c r="AH33" s="43"/>
    </row>
    <row r="34" spans="7:34" ht="15" thickBot="1" x14ac:dyDescent="0.2">
      <c r="G34" s="40"/>
      <c r="H34" s="23"/>
      <c r="I34" s="41"/>
      <c r="M34" s="42" t="str">
        <f t="shared" si="11"/>
        <v/>
      </c>
      <c r="N34" s="42" t="str">
        <f t="shared" si="12"/>
        <v/>
      </c>
      <c r="O34" s="63" t="str">
        <f>IF($N34&lt;&gt;"",INDEX(Data!$B$9:$J$60,MATCH($N34,Data!$A$9:$A$60,0),MATCH(O$8,Data!$B$4:$J$4,0)),"")</f>
        <v/>
      </c>
      <c r="P34" s="63" t="str">
        <f>IF($N34&lt;&gt;"",INDEX(Data!$B$9:$J$60,MATCH($N34,Data!$A$9:$A$60,0),MATCH(P$8,Data!$B$4:$J$4,0)),"")</f>
        <v/>
      </c>
      <c r="Q34" s="63" t="str">
        <f>IF($N34&lt;&gt;"",INDEX(Data!$B$9:$J$60,MATCH($N34,Data!$A$9:$A$60,0),MATCH(Q$8,Data!$B$4:$J$4,0)),"")</f>
        <v/>
      </c>
      <c r="R34" s="63" t="str">
        <f>IF($N34&lt;&gt;"",INDEX(Data!$B$9:$J$60,MATCH($N34,Data!$A$9:$A$60,0),MATCH(R$8,Data!$B$4:$J$4,0)),"")</f>
        <v/>
      </c>
      <c r="S34" s="63" t="str">
        <f>IF($N34&lt;&gt;"",INDEX(Data!$B$9:$J$60,MATCH($N34,Data!$A$9:$A$60,0),MATCH(S$8,Data!$B$4:$J$4,0)),"")</f>
        <v/>
      </c>
      <c r="T34" s="63" t="str">
        <f>IF($N34&lt;&gt;"",INDEX(Data!$B$9:$J$60,MATCH($N34,Data!$A$9:$A$60,0),MATCH(T$8,Data!$B$4:$J$4,0)),"")</f>
        <v/>
      </c>
      <c r="U34" s="63" t="str">
        <f>IF($N34&lt;&gt;"",INDEX(Data!$B$9:$J$60,MATCH($N34,Data!$A$9:$A$60,0),MATCH(U$8,Data!$B$4:$J$4,0)),"")</f>
        <v/>
      </c>
      <c r="V34" s="63" t="str">
        <f>IF($N34&lt;&gt;"",INDEX(Data!$B$9:$J$60,MATCH($N34,Data!$A$9:$A$60,0),MATCH(V$8,Data!$B$4:$J$4,0)),"")</f>
        <v/>
      </c>
      <c r="W34" s="63" t="str">
        <f>IF($N34&lt;&gt;"",INDEX(Data!$B$9:$J$60,MATCH($N34,Data!$A$9:$A$60,0),MATCH(W$8,Data!$B$4:$J$4,0)),"")</f>
        <v/>
      </c>
      <c r="X34" s="45" t="str">
        <f t="shared" si="4"/>
        <v/>
      </c>
      <c r="Y34" s="45" t="str">
        <f t="shared" si="5"/>
        <v/>
      </c>
      <c r="Z34" s="45" t="str">
        <f t="shared" si="6"/>
        <v/>
      </c>
      <c r="AA34" s="45" t="str">
        <f t="shared" si="13"/>
        <v/>
      </c>
      <c r="AB34" s="45" t="str">
        <f t="shared" si="14"/>
        <v/>
      </c>
      <c r="AC34" s="45" t="str">
        <f t="shared" si="15"/>
        <v/>
      </c>
      <c r="AF34" s="23" t="str">
        <f t="shared" si="16"/>
        <v/>
      </c>
      <c r="AG34" s="51" t="str">
        <f t="shared" si="17"/>
        <v/>
      </c>
      <c r="AH34" s="43"/>
    </row>
    <row r="35" spans="7:34" x14ac:dyDescent="0.15">
      <c r="O35" s="1"/>
      <c r="P35" s="1"/>
      <c r="Q35" s="1"/>
      <c r="R35" s="3"/>
      <c r="S35" s="3"/>
      <c r="T35" s="3"/>
      <c r="U35" s="2"/>
      <c r="V35" s="2"/>
      <c r="W35" s="2"/>
      <c r="X35" s="3"/>
      <c r="Y35" s="3"/>
      <c r="Z35" s="3"/>
      <c r="AA35" s="2"/>
      <c r="AB35" s="2"/>
      <c r="AC35" s="2"/>
    </row>
    <row r="36" spans="7:34" x14ac:dyDescent="0.15">
      <c r="N36" t="str">
        <f>INDEX(G14:I14,D4)</f>
        <v>Utility Apps</v>
      </c>
      <c r="O36" s="64">
        <f>IF($N36&lt;&gt;"",INDEX(Data!$B$9:$J$60,MATCH($N36,Data!$A$9:$A$60,0),MATCH(O$8,Data!$B$4:$J$4,0)),"")</f>
        <v>189978.5</v>
      </c>
      <c r="P36" s="64">
        <f>IF($N36&lt;&gt;"",INDEX(Data!$B$9:$J$60,MATCH($N36,Data!$A$9:$A$60,0),MATCH(P$8,Data!$B$4:$J$4,0)),"")</f>
        <v>8869.2000000000007</v>
      </c>
      <c r="Q36" s="64">
        <f>IF($N36&lt;&gt;"",INDEX(Data!$B$9:$J$60,MATCH($N36,Data!$A$9:$A$60,0),MATCH(Q$8,Data!$B$4:$J$4,0)),"")</f>
        <v>91467.1</v>
      </c>
      <c r="R36" s="64">
        <f>IF($N36&lt;&gt;"",INDEX(Data!$B$9:$J$60,MATCH($N36,Data!$A$9:$A$60,0),MATCH(R$8,Data!$B$4:$J$4,0)),"")</f>
        <v>187118.2</v>
      </c>
      <c r="S36" s="64">
        <f>IF($N36&lt;&gt;"",INDEX(Data!$B$9:$J$60,MATCH($N36,Data!$A$9:$A$60,0),MATCH(S$8,Data!$B$4:$J$4,0)),"")</f>
        <v>7865.9000000000005</v>
      </c>
      <c r="T36" s="64">
        <f>IF($N36&lt;&gt;"",INDEX(Data!$B$9:$J$60,MATCH($N36,Data!$A$9:$A$60,0),MATCH(T$8,Data!$B$4:$J$4,0)),"")</f>
        <v>97100.299999999988</v>
      </c>
      <c r="U36" s="64">
        <f>IF($N36&lt;&gt;"",INDEX(Data!$B$9:$J$60,MATCH($N36,Data!$A$9:$A$60,0),MATCH(U$8,Data!$B$4:$J$4,0)),"")</f>
        <v>181464.8</v>
      </c>
      <c r="V36" s="64">
        <f>IF($N36&lt;&gt;"",INDEX(Data!$B$9:$J$60,MATCH($N36,Data!$A$9:$A$60,0),MATCH(V$8,Data!$B$4:$J$4,0)),"")</f>
        <v>8122.2</v>
      </c>
      <c r="W36" s="64">
        <f>IF($N36&lt;&gt;"",INDEX(Data!$B$9:$J$60,MATCH($N36,Data!$A$9:$A$60,0),MATCH(W$8,Data!$B$4:$J$4,0)),"")</f>
        <v>94780.800000000003</v>
      </c>
      <c r="X36" s="44">
        <f t="shared" ref="X36:AC36" si="23">IF($N36&lt;&gt;"",(O36-R36)/R36,"")</f>
        <v>1.5286059827424528E-2</v>
      </c>
      <c r="Y36" s="44">
        <f t="shared" si="23"/>
        <v>0.12755056636875628</v>
      </c>
      <c r="Z36" s="44">
        <f t="shared" si="23"/>
        <v>-5.8014238884946633E-2</v>
      </c>
      <c r="AA36" s="44">
        <f t="shared" si="23"/>
        <v>3.1154251403027054E-2</v>
      </c>
      <c r="AB36" s="44">
        <f t="shared" si="23"/>
        <v>-3.1555489891901121E-2</v>
      </c>
      <c r="AC36" s="44">
        <f t="shared" si="23"/>
        <v>2.4472255984334227E-2</v>
      </c>
    </row>
    <row r="38" spans="7:34" x14ac:dyDescent="0.15">
      <c r="N38" s="34" t="s">
        <v>104</v>
      </c>
      <c r="O38" s="33"/>
      <c r="P38" s="34"/>
      <c r="Q38" s="34"/>
      <c r="X38" s="34" t="s">
        <v>97</v>
      </c>
      <c r="Y38" s="33"/>
      <c r="Z38" s="34"/>
      <c r="AA38" s="34"/>
      <c r="AB38" s="34"/>
      <c r="AC38" s="34"/>
    </row>
    <row r="39" spans="7:34" x14ac:dyDescent="0.15">
      <c r="N39" t="s">
        <v>105</v>
      </c>
      <c r="O39" s="64">
        <f>O36-U36</f>
        <v>8513.7000000000116</v>
      </c>
      <c r="P39" t="str">
        <f>IF(O39&gt;0,"Over Budget",IF(O39&lt;0,"Under Budget"))</f>
        <v>Over Budget</v>
      </c>
      <c r="X39" t="s">
        <v>98</v>
      </c>
      <c r="Y39" s="51">
        <f>MIN(X15:X34)</f>
        <v>-0.24741506646971936</v>
      </c>
    </row>
    <row r="40" spans="7:34" x14ac:dyDescent="0.15">
      <c r="N40" t="s">
        <v>106</v>
      </c>
      <c r="O40" s="64">
        <f>P36-V36</f>
        <v>747.00000000000091</v>
      </c>
      <c r="P40" t="str">
        <f>IF(O40&gt;0,"Over Budget",IF(O40&lt;0,"Under Budget"))</f>
        <v>Over Budget</v>
      </c>
      <c r="X40" t="s">
        <v>99</v>
      </c>
      <c r="Y40" s="51">
        <f>MAX(X15:X34)</f>
        <v>0.16703703703703704</v>
      </c>
    </row>
    <row r="41" spans="7:34" x14ac:dyDescent="0.15">
      <c r="N41" t="s">
        <v>107</v>
      </c>
      <c r="O41" s="64">
        <f>Q36-W36</f>
        <v>-3313.6999999999971</v>
      </c>
      <c r="P41" t="str">
        <f>IF(O41&gt;0,"Over Budget",IF(O41&lt;0,"Under Budget"))</f>
        <v>Under Budget</v>
      </c>
      <c r="X41" t="s">
        <v>100</v>
      </c>
      <c r="Y41" s="51">
        <f>MIN(Y15:Y34)</f>
        <v>-0.55285961871750433</v>
      </c>
    </row>
    <row r="42" spans="7:34" x14ac:dyDescent="0.15">
      <c r="X42" t="s">
        <v>101</v>
      </c>
      <c r="Y42" s="51">
        <f>MAX(Y15:Y34)</f>
        <v>0.46612466124661245</v>
      </c>
    </row>
    <row r="43" spans="7:34" x14ac:dyDescent="0.15">
      <c r="X43" t="s">
        <v>102</v>
      </c>
      <c r="Y43" s="51">
        <f>MIN(Z15:Z34)</f>
        <v>-0.18720538720538721</v>
      </c>
    </row>
    <row r="44" spans="7:34" x14ac:dyDescent="0.15">
      <c r="X44" t="s">
        <v>103</v>
      </c>
      <c r="Y44" s="51">
        <f>MAX(Z15:Z34)</f>
        <v>0.136474609375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T51"/>
  <sheetViews>
    <sheetView workbookViewId="0">
      <pane xSplit="1" ySplit="8" topLeftCell="AA9" activePane="bottomRight" state="frozen"/>
      <selection pane="topRight" activeCell="B1" sqref="B1"/>
      <selection pane="bottomLeft" activeCell="A9" sqref="A9"/>
      <selection pane="bottomRight" activeCell="AY5" sqref="AY5"/>
    </sheetView>
  </sheetViews>
  <sheetFormatPr baseColWidth="10" defaultColWidth="8.83203125" defaultRowHeight="14" x14ac:dyDescent="0.15"/>
  <cols>
    <col min="1" max="1" width="16.6640625" customWidth="1"/>
  </cols>
  <sheetData>
    <row r="1" spans="1:46" x14ac:dyDescent="0.15">
      <c r="A1" t="s">
        <v>17</v>
      </c>
    </row>
    <row r="2" spans="1:46" x14ac:dyDescent="0.15">
      <c r="A2" s="32">
        <f>cur_year</f>
        <v>2017</v>
      </c>
      <c r="B2" s="32">
        <f>A2-1</f>
        <v>2016</v>
      </c>
    </row>
    <row r="3" spans="1:46" x14ac:dyDescent="0.15">
      <c r="B3" s="4" t="s">
        <v>0</v>
      </c>
      <c r="C3" s="5"/>
      <c r="D3" s="6"/>
      <c r="E3" s="7" t="s">
        <v>18</v>
      </c>
      <c r="F3" s="8"/>
      <c r="G3" s="9"/>
      <c r="H3" s="10" t="s">
        <v>14</v>
      </c>
      <c r="I3" s="10"/>
      <c r="J3" s="11"/>
      <c r="K3" s="4" t="s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 t="s">
        <v>18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12"/>
      <c r="AI3" s="10" t="s">
        <v>14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1:46" x14ac:dyDescent="0.15">
      <c r="A4" t="s">
        <v>93</v>
      </c>
      <c r="B4" t="str">
        <f t="shared" ref="B4:AT4" si="0">B5&amp;B6&amp;B7&amp;B8</f>
        <v>2017JunActualRevenue</v>
      </c>
      <c r="C4" t="str">
        <f t="shared" si="0"/>
        <v>2017JunActualProfit</v>
      </c>
      <c r="D4" s="14" t="str">
        <f t="shared" si="0"/>
        <v>2017JunActualCash</v>
      </c>
      <c r="E4" t="str">
        <f t="shared" si="0"/>
        <v>2016JunActualRevenue</v>
      </c>
      <c r="F4" t="str">
        <f t="shared" si="0"/>
        <v>2016JunActualProfit</v>
      </c>
      <c r="G4" s="14" t="str">
        <f t="shared" si="0"/>
        <v>2016JunActualCash</v>
      </c>
      <c r="H4" t="str">
        <f t="shared" si="0"/>
        <v>2017JunBudgetRevenue</v>
      </c>
      <c r="I4" t="str">
        <f t="shared" si="0"/>
        <v>2017JunBudgetProfit</v>
      </c>
      <c r="J4" s="14" t="str">
        <f t="shared" si="0"/>
        <v>2017JunBudgetCash</v>
      </c>
      <c r="K4" s="15" t="str">
        <f t="shared" si="0"/>
        <v>2017JanActualProfit</v>
      </c>
      <c r="L4" s="15" t="str">
        <f t="shared" si="0"/>
        <v>2017FebActualProfit</v>
      </c>
      <c r="M4" s="15" t="str">
        <f t="shared" si="0"/>
        <v>2017MarActualProfit</v>
      </c>
      <c r="N4" s="15" t="str">
        <f t="shared" si="0"/>
        <v>2017AprActualProfit</v>
      </c>
      <c r="O4" s="15" t="str">
        <f t="shared" si="0"/>
        <v>2017MayActualProfit</v>
      </c>
      <c r="P4" s="15" t="str">
        <f t="shared" si="0"/>
        <v>2017JunActualProfit</v>
      </c>
      <c r="Q4" s="15" t="str">
        <f t="shared" si="0"/>
        <v>2017JulActualProfit</v>
      </c>
      <c r="R4" s="15" t="str">
        <f t="shared" si="0"/>
        <v>2017AugActualProfit</v>
      </c>
      <c r="S4" s="15" t="str">
        <f t="shared" si="0"/>
        <v>2017SepActualProfit</v>
      </c>
      <c r="T4" s="15" t="str">
        <f t="shared" si="0"/>
        <v>2017OctActualProfit</v>
      </c>
      <c r="U4" s="15" t="str">
        <f t="shared" si="0"/>
        <v>2017NovActualProfit</v>
      </c>
      <c r="V4" s="15" t="str">
        <f t="shared" si="0"/>
        <v>2017DecActualProfit</v>
      </c>
      <c r="W4" s="16" t="str">
        <f t="shared" si="0"/>
        <v>2016JanActualProfit</v>
      </c>
      <c r="X4" s="15" t="str">
        <f t="shared" si="0"/>
        <v>2016FebActualProfit</v>
      </c>
      <c r="Y4" s="15" t="str">
        <f t="shared" si="0"/>
        <v>2016MarActualProfit</v>
      </c>
      <c r="Z4" s="15" t="str">
        <f t="shared" si="0"/>
        <v>2016AprActualProfit</v>
      </c>
      <c r="AA4" s="15" t="str">
        <f t="shared" si="0"/>
        <v>2016MayActualProfit</v>
      </c>
      <c r="AB4" s="15" t="str">
        <f t="shared" si="0"/>
        <v>2016JunActualProfit</v>
      </c>
      <c r="AC4" s="15" t="str">
        <f t="shared" si="0"/>
        <v>2016JulActualProfit</v>
      </c>
      <c r="AD4" s="15" t="str">
        <f t="shared" si="0"/>
        <v>2016AugActualProfit</v>
      </c>
      <c r="AE4" s="15" t="str">
        <f t="shared" si="0"/>
        <v>2016SepActualProfit</v>
      </c>
      <c r="AF4" s="15" t="str">
        <f t="shared" si="0"/>
        <v>2016OctActualProfit</v>
      </c>
      <c r="AG4" s="15" t="str">
        <f t="shared" si="0"/>
        <v>2016NovActualProfit</v>
      </c>
      <c r="AH4" s="17" t="str">
        <f t="shared" si="0"/>
        <v>2016DecActualProfit</v>
      </c>
      <c r="AI4" s="15" t="str">
        <f t="shared" si="0"/>
        <v>2017JanBudgetProfit</v>
      </c>
      <c r="AJ4" s="15" t="str">
        <f t="shared" si="0"/>
        <v>2017FebBudgetProfit</v>
      </c>
      <c r="AK4" s="15" t="str">
        <f t="shared" si="0"/>
        <v>2017MarBudgetProfit</v>
      </c>
      <c r="AL4" s="15" t="str">
        <f t="shared" si="0"/>
        <v>2017AprBudgetProfit</v>
      </c>
      <c r="AM4" s="15" t="str">
        <f t="shared" si="0"/>
        <v>2017MayBudgetProfit</v>
      </c>
      <c r="AN4" s="15" t="str">
        <f t="shared" si="0"/>
        <v>2017JunBudgetProfit</v>
      </c>
      <c r="AO4" s="15" t="str">
        <f t="shared" si="0"/>
        <v>2017JulBudgetProfit</v>
      </c>
      <c r="AP4" s="15" t="str">
        <f t="shared" si="0"/>
        <v>2017AugBudgetProfit</v>
      </c>
      <c r="AQ4" s="15" t="str">
        <f t="shared" si="0"/>
        <v>2017SepBudgetProfit</v>
      </c>
      <c r="AR4" s="15" t="str">
        <f t="shared" si="0"/>
        <v>2017OctBudgetProfit</v>
      </c>
      <c r="AS4" s="15" t="str">
        <f t="shared" si="0"/>
        <v>2017NovBudgetProfit</v>
      </c>
      <c r="AT4" s="15" t="str">
        <f t="shared" si="0"/>
        <v>2017DecBudgetProfit</v>
      </c>
    </row>
    <row r="5" spans="1:46" x14ac:dyDescent="0.15">
      <c r="B5" s="18">
        <f>$A$2</f>
        <v>2017</v>
      </c>
      <c r="C5" s="18">
        <f>$A$2</f>
        <v>2017</v>
      </c>
      <c r="D5" s="19">
        <f>$A$2</f>
        <v>2017</v>
      </c>
      <c r="E5" s="18">
        <f>$B$2</f>
        <v>2016</v>
      </c>
      <c r="F5" s="18">
        <f>$B$2</f>
        <v>2016</v>
      </c>
      <c r="G5" s="19">
        <f>$B$2</f>
        <v>2016</v>
      </c>
      <c r="H5" s="18">
        <f>$A$2</f>
        <v>2017</v>
      </c>
      <c r="I5" s="18">
        <f>$A$2</f>
        <v>2017</v>
      </c>
      <c r="J5" s="19">
        <f>$A$2</f>
        <v>2017</v>
      </c>
      <c r="K5" s="20">
        <f t="shared" ref="K5:V5" si="1">$A$2</f>
        <v>2017</v>
      </c>
      <c r="L5" s="20">
        <f t="shared" si="1"/>
        <v>2017</v>
      </c>
      <c r="M5" s="20">
        <f t="shared" si="1"/>
        <v>2017</v>
      </c>
      <c r="N5" s="20">
        <f t="shared" si="1"/>
        <v>2017</v>
      </c>
      <c r="O5" s="20">
        <f t="shared" si="1"/>
        <v>2017</v>
      </c>
      <c r="P5" s="20">
        <f t="shared" si="1"/>
        <v>2017</v>
      </c>
      <c r="Q5" s="20">
        <f t="shared" si="1"/>
        <v>2017</v>
      </c>
      <c r="R5" s="20">
        <f t="shared" si="1"/>
        <v>2017</v>
      </c>
      <c r="S5" s="20">
        <f t="shared" si="1"/>
        <v>2017</v>
      </c>
      <c r="T5" s="20">
        <f t="shared" si="1"/>
        <v>2017</v>
      </c>
      <c r="U5" s="20">
        <f t="shared" si="1"/>
        <v>2017</v>
      </c>
      <c r="V5" s="20">
        <f t="shared" si="1"/>
        <v>2017</v>
      </c>
      <c r="W5" s="21">
        <f t="shared" ref="W5:AH5" si="2">$B$2</f>
        <v>2016</v>
      </c>
      <c r="X5" s="20">
        <f t="shared" si="2"/>
        <v>2016</v>
      </c>
      <c r="Y5" s="20">
        <f t="shared" si="2"/>
        <v>2016</v>
      </c>
      <c r="Z5" s="20">
        <f t="shared" si="2"/>
        <v>2016</v>
      </c>
      <c r="AA5" s="20">
        <f t="shared" si="2"/>
        <v>2016</v>
      </c>
      <c r="AB5" s="20">
        <f t="shared" si="2"/>
        <v>2016</v>
      </c>
      <c r="AC5" s="20">
        <f t="shared" si="2"/>
        <v>2016</v>
      </c>
      <c r="AD5" s="20">
        <f t="shared" si="2"/>
        <v>2016</v>
      </c>
      <c r="AE5" s="20">
        <f t="shared" si="2"/>
        <v>2016</v>
      </c>
      <c r="AF5" s="20">
        <f t="shared" si="2"/>
        <v>2016</v>
      </c>
      <c r="AG5" s="20">
        <f t="shared" si="2"/>
        <v>2016</v>
      </c>
      <c r="AH5" s="22">
        <f t="shared" si="2"/>
        <v>2016</v>
      </c>
      <c r="AI5" s="20">
        <f t="shared" ref="AI5:AT5" si="3">$A$2</f>
        <v>2017</v>
      </c>
      <c r="AJ5" s="20">
        <f t="shared" si="3"/>
        <v>2017</v>
      </c>
      <c r="AK5" s="20">
        <f t="shared" si="3"/>
        <v>2017</v>
      </c>
      <c r="AL5" s="20">
        <f t="shared" si="3"/>
        <v>2017</v>
      </c>
      <c r="AM5" s="20">
        <f t="shared" si="3"/>
        <v>2017</v>
      </c>
      <c r="AN5" s="20">
        <f t="shared" si="3"/>
        <v>2017</v>
      </c>
      <c r="AO5" s="20">
        <f t="shared" si="3"/>
        <v>2017</v>
      </c>
      <c r="AP5" s="20">
        <f t="shared" si="3"/>
        <v>2017</v>
      </c>
      <c r="AQ5" s="20">
        <f t="shared" si="3"/>
        <v>2017</v>
      </c>
      <c r="AR5" s="20">
        <f t="shared" si="3"/>
        <v>2017</v>
      </c>
      <c r="AS5" s="20">
        <f t="shared" si="3"/>
        <v>2017</v>
      </c>
      <c r="AT5" s="20">
        <f t="shared" si="3"/>
        <v>2017</v>
      </c>
    </row>
    <row r="6" spans="1:46" x14ac:dyDescent="0.15">
      <c r="B6" s="18" t="str">
        <f t="shared" ref="B6:J6" si="4">cur_month</f>
        <v>Jun</v>
      </c>
      <c r="C6" s="18" t="str">
        <f t="shared" si="4"/>
        <v>Jun</v>
      </c>
      <c r="D6" s="19" t="str">
        <f t="shared" si="4"/>
        <v>Jun</v>
      </c>
      <c r="E6" s="18" t="str">
        <f t="shared" si="4"/>
        <v>Jun</v>
      </c>
      <c r="F6" s="18" t="str">
        <f t="shared" si="4"/>
        <v>Jun</v>
      </c>
      <c r="G6" s="19" t="str">
        <f t="shared" si="4"/>
        <v>Jun</v>
      </c>
      <c r="H6" s="18" t="str">
        <f t="shared" si="4"/>
        <v>Jun</v>
      </c>
      <c r="I6" s="18" t="str">
        <f t="shared" si="4"/>
        <v>Jun</v>
      </c>
      <c r="J6" s="19" t="str">
        <f t="shared" si="4"/>
        <v>Jun</v>
      </c>
      <c r="K6" s="20" t="s">
        <v>20</v>
      </c>
      <c r="L6" s="20" t="s">
        <v>21</v>
      </c>
      <c r="M6" s="20" t="s">
        <v>22</v>
      </c>
      <c r="N6" s="20" t="s">
        <v>23</v>
      </c>
      <c r="O6" s="20" t="s">
        <v>24</v>
      </c>
      <c r="P6" s="20" t="s">
        <v>19</v>
      </c>
      <c r="Q6" s="20" t="s">
        <v>25</v>
      </c>
      <c r="R6" s="20" t="s">
        <v>26</v>
      </c>
      <c r="S6" s="20" t="s">
        <v>27</v>
      </c>
      <c r="T6" s="20" t="s">
        <v>28</v>
      </c>
      <c r="U6" s="20" t="s">
        <v>29</v>
      </c>
      <c r="V6" s="22" t="s">
        <v>30</v>
      </c>
      <c r="W6" s="20" t="s">
        <v>20</v>
      </c>
      <c r="X6" s="20" t="s">
        <v>21</v>
      </c>
      <c r="Y6" s="20" t="s">
        <v>22</v>
      </c>
      <c r="Z6" s="20" t="s">
        <v>23</v>
      </c>
      <c r="AA6" s="20" t="s">
        <v>24</v>
      </c>
      <c r="AB6" s="20" t="s">
        <v>19</v>
      </c>
      <c r="AC6" s="20" t="s">
        <v>25</v>
      </c>
      <c r="AD6" s="20" t="s">
        <v>26</v>
      </c>
      <c r="AE6" s="20" t="s">
        <v>27</v>
      </c>
      <c r="AF6" s="20" t="s">
        <v>28</v>
      </c>
      <c r="AG6" s="20" t="s">
        <v>29</v>
      </c>
      <c r="AH6" s="22" t="s">
        <v>30</v>
      </c>
      <c r="AI6" s="20" t="s">
        <v>20</v>
      </c>
      <c r="AJ6" s="20" t="s">
        <v>21</v>
      </c>
      <c r="AK6" s="20" t="s">
        <v>22</v>
      </c>
      <c r="AL6" s="20" t="s">
        <v>23</v>
      </c>
      <c r="AM6" s="20" t="s">
        <v>24</v>
      </c>
      <c r="AN6" s="20" t="s">
        <v>19</v>
      </c>
      <c r="AO6" s="20" t="s">
        <v>25</v>
      </c>
      <c r="AP6" s="20" t="s">
        <v>26</v>
      </c>
      <c r="AQ6" s="20" t="s">
        <v>27</v>
      </c>
      <c r="AR6" s="20" t="s">
        <v>28</v>
      </c>
      <c r="AS6" s="20" t="s">
        <v>29</v>
      </c>
      <c r="AT6" s="20" t="s">
        <v>30</v>
      </c>
    </row>
    <row r="7" spans="1:46" x14ac:dyDescent="0.15">
      <c r="B7" s="18" t="s">
        <v>0</v>
      </c>
      <c r="C7" s="18" t="s">
        <v>0</v>
      </c>
      <c r="D7" s="19" t="s">
        <v>0</v>
      </c>
      <c r="E7" s="18" t="s">
        <v>0</v>
      </c>
      <c r="F7" s="18" t="s">
        <v>0</v>
      </c>
      <c r="G7" s="19" t="s">
        <v>0</v>
      </c>
      <c r="H7" s="18" t="s">
        <v>14</v>
      </c>
      <c r="I7" s="18" t="s">
        <v>14</v>
      </c>
      <c r="J7" s="19" t="s">
        <v>14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20" t="s">
        <v>0</v>
      </c>
      <c r="W7" s="21" t="s">
        <v>0</v>
      </c>
      <c r="X7" s="20" t="s">
        <v>0</v>
      </c>
      <c r="Y7" s="20" t="s">
        <v>0</v>
      </c>
      <c r="Z7" s="20" t="s">
        <v>0</v>
      </c>
      <c r="AA7" s="20" t="s">
        <v>0</v>
      </c>
      <c r="AB7" s="20" t="s">
        <v>0</v>
      </c>
      <c r="AC7" s="20" t="s">
        <v>0</v>
      </c>
      <c r="AD7" s="20" t="s">
        <v>0</v>
      </c>
      <c r="AE7" s="20" t="s">
        <v>0</v>
      </c>
      <c r="AF7" s="20" t="s">
        <v>0</v>
      </c>
      <c r="AG7" s="20" t="s">
        <v>0</v>
      </c>
      <c r="AH7" s="22" t="s">
        <v>0</v>
      </c>
      <c r="AI7" s="20" t="s">
        <v>14</v>
      </c>
      <c r="AJ7" s="20" t="s">
        <v>14</v>
      </c>
      <c r="AK7" s="20" t="s">
        <v>14</v>
      </c>
      <c r="AL7" s="20" t="s">
        <v>14</v>
      </c>
      <c r="AM7" s="20" t="s">
        <v>14</v>
      </c>
      <c r="AN7" s="20" t="s">
        <v>14</v>
      </c>
      <c r="AO7" s="20" t="s">
        <v>14</v>
      </c>
      <c r="AP7" s="20" t="s">
        <v>14</v>
      </c>
      <c r="AQ7" s="20" t="s">
        <v>14</v>
      </c>
      <c r="AR7" s="20" t="s">
        <v>14</v>
      </c>
      <c r="AS7" s="20" t="s">
        <v>14</v>
      </c>
      <c r="AT7" s="20" t="s">
        <v>14</v>
      </c>
    </row>
    <row r="8" spans="1:46" x14ac:dyDescent="0.15">
      <c r="A8" s="23"/>
      <c r="B8" s="24" t="s">
        <v>31</v>
      </c>
      <c r="C8" s="24" t="s">
        <v>32</v>
      </c>
      <c r="D8" s="25" t="s">
        <v>33</v>
      </c>
      <c r="E8" s="24" t="s">
        <v>31</v>
      </c>
      <c r="F8" s="24" t="s">
        <v>32</v>
      </c>
      <c r="G8" s="25" t="s">
        <v>33</v>
      </c>
      <c r="H8" s="24" t="s">
        <v>31</v>
      </c>
      <c r="I8" s="24" t="s">
        <v>32</v>
      </c>
      <c r="J8" s="25" t="s">
        <v>33</v>
      </c>
      <c r="K8" s="26" t="s">
        <v>32</v>
      </c>
      <c r="L8" s="26" t="s">
        <v>32</v>
      </c>
      <c r="M8" s="26" t="s">
        <v>32</v>
      </c>
      <c r="N8" s="26" t="s">
        <v>32</v>
      </c>
      <c r="O8" s="26" t="s">
        <v>32</v>
      </c>
      <c r="P8" s="26" t="s">
        <v>32</v>
      </c>
      <c r="Q8" s="26" t="s">
        <v>32</v>
      </c>
      <c r="R8" s="26" t="s">
        <v>32</v>
      </c>
      <c r="S8" s="26" t="s">
        <v>32</v>
      </c>
      <c r="T8" s="26" t="s">
        <v>32</v>
      </c>
      <c r="U8" s="26" t="s">
        <v>32</v>
      </c>
      <c r="V8" s="26" t="s">
        <v>32</v>
      </c>
      <c r="W8" s="27" t="s">
        <v>32</v>
      </c>
      <c r="X8" s="26" t="s">
        <v>32</v>
      </c>
      <c r="Y8" s="26" t="s">
        <v>32</v>
      </c>
      <c r="Z8" s="26" t="s">
        <v>32</v>
      </c>
      <c r="AA8" s="26" t="s">
        <v>32</v>
      </c>
      <c r="AB8" s="26" t="s">
        <v>32</v>
      </c>
      <c r="AC8" s="26" t="s">
        <v>32</v>
      </c>
      <c r="AD8" s="26" t="s">
        <v>32</v>
      </c>
      <c r="AE8" s="26" t="s">
        <v>32</v>
      </c>
      <c r="AF8" s="26" t="s">
        <v>32</v>
      </c>
      <c r="AG8" s="26" t="s">
        <v>32</v>
      </c>
      <c r="AH8" s="28" t="s">
        <v>32</v>
      </c>
      <c r="AI8" s="26" t="s">
        <v>32</v>
      </c>
      <c r="AJ8" s="26" t="s">
        <v>32</v>
      </c>
      <c r="AK8" s="26" t="s">
        <v>32</v>
      </c>
      <c r="AL8" s="26" t="s">
        <v>32</v>
      </c>
      <c r="AM8" s="26" t="s">
        <v>32</v>
      </c>
      <c r="AN8" s="26" t="s">
        <v>32</v>
      </c>
      <c r="AO8" s="26" t="s">
        <v>32</v>
      </c>
      <c r="AP8" s="26" t="s">
        <v>32</v>
      </c>
      <c r="AQ8" s="26" t="s">
        <v>32</v>
      </c>
      <c r="AR8" s="26" t="s">
        <v>32</v>
      </c>
      <c r="AS8" s="26" t="s">
        <v>32</v>
      </c>
      <c r="AT8" s="26" t="s">
        <v>32</v>
      </c>
    </row>
    <row r="9" spans="1:46" x14ac:dyDescent="0.15">
      <c r="A9" t="s">
        <v>34</v>
      </c>
      <c r="B9">
        <v>162643</v>
      </c>
      <c r="C9">
        <v>9359</v>
      </c>
      <c r="D9" s="14">
        <v>103058</v>
      </c>
      <c r="E9">
        <v>159773</v>
      </c>
      <c r="F9">
        <v>9241</v>
      </c>
      <c r="G9" s="14">
        <v>103723</v>
      </c>
      <c r="H9">
        <v>164760</v>
      </c>
      <c r="I9">
        <v>9443</v>
      </c>
      <c r="J9" s="14">
        <v>104426</v>
      </c>
      <c r="K9">
        <v>1005</v>
      </c>
      <c r="L9">
        <v>2218</v>
      </c>
      <c r="M9">
        <v>3685</v>
      </c>
      <c r="N9">
        <v>5304</v>
      </c>
      <c r="O9">
        <v>7477</v>
      </c>
      <c r="P9">
        <v>9359</v>
      </c>
      <c r="W9" s="29">
        <v>1136</v>
      </c>
      <c r="X9">
        <v>2193</v>
      </c>
      <c r="Y9">
        <v>3803</v>
      </c>
      <c r="Z9">
        <v>5307</v>
      </c>
      <c r="AA9">
        <v>6687</v>
      </c>
      <c r="AB9">
        <v>8231</v>
      </c>
      <c r="AC9">
        <v>9662</v>
      </c>
      <c r="AD9">
        <v>10821</v>
      </c>
      <c r="AE9">
        <v>11926</v>
      </c>
      <c r="AF9">
        <v>13136</v>
      </c>
      <c r="AG9">
        <v>13951</v>
      </c>
      <c r="AH9" s="14">
        <v>14067</v>
      </c>
      <c r="AI9">
        <v>953</v>
      </c>
      <c r="AJ9">
        <v>1990</v>
      </c>
      <c r="AK9">
        <v>3619</v>
      </c>
      <c r="AL9">
        <v>5170</v>
      </c>
      <c r="AM9">
        <v>6762</v>
      </c>
      <c r="AN9">
        <v>8451</v>
      </c>
      <c r="AO9">
        <v>10075</v>
      </c>
      <c r="AP9">
        <v>10901</v>
      </c>
      <c r="AQ9">
        <v>12366</v>
      </c>
      <c r="AR9">
        <v>13962</v>
      </c>
      <c r="AS9">
        <v>15507</v>
      </c>
      <c r="AT9">
        <v>15918</v>
      </c>
    </row>
    <row r="10" spans="1:46" x14ac:dyDescent="0.15">
      <c r="A10" s="30" t="s">
        <v>35</v>
      </c>
      <c r="B10">
        <v>14432</v>
      </c>
      <c r="C10">
        <v>240</v>
      </c>
      <c r="D10" s="14">
        <v>11099</v>
      </c>
      <c r="E10">
        <v>13699</v>
      </c>
      <c r="F10">
        <v>210</v>
      </c>
      <c r="G10" s="14">
        <v>12058</v>
      </c>
      <c r="H10">
        <v>15113</v>
      </c>
      <c r="I10">
        <v>363</v>
      </c>
      <c r="J10" s="14">
        <v>11468</v>
      </c>
      <c r="K10">
        <v>23</v>
      </c>
      <c r="L10">
        <v>66</v>
      </c>
      <c r="M10">
        <v>171</v>
      </c>
      <c r="N10">
        <v>200</v>
      </c>
      <c r="O10">
        <v>222</v>
      </c>
      <c r="P10">
        <v>240</v>
      </c>
      <c r="W10" s="29">
        <v>22</v>
      </c>
      <c r="X10">
        <v>32</v>
      </c>
      <c r="Y10">
        <v>44</v>
      </c>
      <c r="Z10">
        <v>54</v>
      </c>
      <c r="AA10">
        <v>68</v>
      </c>
      <c r="AB10">
        <v>76</v>
      </c>
      <c r="AC10">
        <v>89</v>
      </c>
      <c r="AD10">
        <v>110</v>
      </c>
      <c r="AE10">
        <v>113</v>
      </c>
      <c r="AF10">
        <v>191</v>
      </c>
      <c r="AG10">
        <v>276</v>
      </c>
      <c r="AH10" s="14">
        <v>264</v>
      </c>
      <c r="AI10">
        <v>49</v>
      </c>
      <c r="AJ10">
        <v>92</v>
      </c>
      <c r="AK10">
        <v>163</v>
      </c>
      <c r="AL10">
        <v>228</v>
      </c>
      <c r="AM10">
        <v>299</v>
      </c>
      <c r="AN10">
        <v>363</v>
      </c>
      <c r="AO10">
        <v>423</v>
      </c>
      <c r="AP10">
        <v>483</v>
      </c>
      <c r="AQ10">
        <v>535</v>
      </c>
      <c r="AR10">
        <v>607</v>
      </c>
      <c r="AS10">
        <v>671</v>
      </c>
      <c r="AT10">
        <v>582</v>
      </c>
    </row>
    <row r="11" spans="1:46" x14ac:dyDescent="0.15">
      <c r="A11" s="30" t="s">
        <v>36</v>
      </c>
      <c r="B11">
        <v>17990</v>
      </c>
      <c r="C11">
        <v>1166</v>
      </c>
      <c r="D11" s="14">
        <v>7137</v>
      </c>
      <c r="E11">
        <v>16395</v>
      </c>
      <c r="F11">
        <v>1003</v>
      </c>
      <c r="G11" s="14">
        <v>7423</v>
      </c>
      <c r="H11">
        <v>18181</v>
      </c>
      <c r="I11">
        <v>1223</v>
      </c>
      <c r="J11" s="14">
        <v>8196</v>
      </c>
      <c r="K11">
        <v>170</v>
      </c>
      <c r="L11">
        <v>327</v>
      </c>
      <c r="M11">
        <v>512</v>
      </c>
      <c r="N11">
        <v>732</v>
      </c>
      <c r="O11">
        <v>941</v>
      </c>
      <c r="P11">
        <v>1166</v>
      </c>
      <c r="W11" s="29">
        <v>149</v>
      </c>
      <c r="X11">
        <v>274</v>
      </c>
      <c r="Y11">
        <v>490</v>
      </c>
      <c r="Z11">
        <v>641</v>
      </c>
      <c r="AA11">
        <v>823</v>
      </c>
      <c r="AB11">
        <v>1003</v>
      </c>
      <c r="AC11">
        <v>1164</v>
      </c>
      <c r="AD11">
        <v>1272</v>
      </c>
      <c r="AE11">
        <v>1395</v>
      </c>
      <c r="AF11">
        <v>1538</v>
      </c>
      <c r="AG11">
        <v>1712</v>
      </c>
      <c r="AH11" s="14">
        <v>1750</v>
      </c>
      <c r="AI11">
        <v>151</v>
      </c>
      <c r="AJ11">
        <v>302</v>
      </c>
      <c r="AK11">
        <v>547</v>
      </c>
      <c r="AL11">
        <v>772</v>
      </c>
      <c r="AM11">
        <v>1002</v>
      </c>
      <c r="AN11">
        <v>1223</v>
      </c>
      <c r="AO11">
        <v>1402</v>
      </c>
      <c r="AP11">
        <v>1507</v>
      </c>
      <c r="AQ11">
        <v>1724</v>
      </c>
      <c r="AR11">
        <v>1977</v>
      </c>
      <c r="AS11">
        <v>2191</v>
      </c>
      <c r="AT11">
        <v>2239</v>
      </c>
    </row>
    <row r="12" spans="1:46" x14ac:dyDescent="0.15">
      <c r="A12" s="30" t="s">
        <v>37</v>
      </c>
      <c r="B12">
        <v>15117</v>
      </c>
      <c r="C12">
        <v>1613</v>
      </c>
      <c r="D12" s="14">
        <v>5828</v>
      </c>
      <c r="E12">
        <v>14138</v>
      </c>
      <c r="F12">
        <v>1200</v>
      </c>
      <c r="G12" s="14">
        <v>6212</v>
      </c>
      <c r="H12">
        <v>13455</v>
      </c>
      <c r="I12">
        <v>1400</v>
      </c>
      <c r="J12" s="14">
        <v>5810</v>
      </c>
      <c r="K12">
        <v>150</v>
      </c>
      <c r="L12">
        <v>315</v>
      </c>
      <c r="M12">
        <v>537</v>
      </c>
      <c r="N12">
        <v>795</v>
      </c>
      <c r="O12">
        <v>1393</v>
      </c>
      <c r="P12">
        <v>1613</v>
      </c>
      <c r="W12" s="29">
        <v>47</v>
      </c>
      <c r="X12">
        <v>144</v>
      </c>
      <c r="Y12">
        <v>268</v>
      </c>
      <c r="Z12">
        <v>358</v>
      </c>
      <c r="AA12">
        <v>430</v>
      </c>
      <c r="AB12">
        <v>516</v>
      </c>
      <c r="AC12">
        <v>608</v>
      </c>
      <c r="AD12">
        <v>710</v>
      </c>
      <c r="AE12">
        <v>796</v>
      </c>
      <c r="AF12">
        <v>866</v>
      </c>
      <c r="AG12">
        <v>990</v>
      </c>
      <c r="AH12" s="14">
        <v>1000</v>
      </c>
      <c r="AI12">
        <v>128</v>
      </c>
      <c r="AJ12">
        <v>238</v>
      </c>
      <c r="AK12">
        <v>365</v>
      </c>
      <c r="AL12">
        <v>489</v>
      </c>
      <c r="AM12">
        <v>614</v>
      </c>
      <c r="AN12">
        <v>732</v>
      </c>
      <c r="AO12">
        <v>864</v>
      </c>
      <c r="AP12">
        <v>993</v>
      </c>
      <c r="AQ12">
        <v>1129</v>
      </c>
      <c r="AR12">
        <v>1270</v>
      </c>
      <c r="AS12">
        <v>1404</v>
      </c>
      <c r="AT12">
        <v>1460</v>
      </c>
    </row>
    <row r="13" spans="1:46" x14ac:dyDescent="0.15">
      <c r="A13" s="30" t="s">
        <v>38</v>
      </c>
      <c r="B13">
        <v>11154</v>
      </c>
      <c r="C13">
        <v>731</v>
      </c>
      <c r="D13" s="14">
        <v>8008</v>
      </c>
      <c r="E13">
        <v>11502</v>
      </c>
      <c r="F13">
        <v>499</v>
      </c>
      <c r="G13" s="14">
        <v>8953</v>
      </c>
      <c r="H13">
        <v>12031</v>
      </c>
      <c r="I13">
        <v>641</v>
      </c>
      <c r="J13" s="14">
        <v>8424</v>
      </c>
      <c r="K13">
        <v>135</v>
      </c>
      <c r="L13">
        <v>239</v>
      </c>
      <c r="M13">
        <v>341</v>
      </c>
      <c r="N13">
        <v>445</v>
      </c>
      <c r="O13">
        <v>623</v>
      </c>
      <c r="P13">
        <v>731</v>
      </c>
      <c r="W13" s="29">
        <v>119</v>
      </c>
      <c r="X13">
        <v>139</v>
      </c>
      <c r="Y13">
        <v>245</v>
      </c>
      <c r="Z13">
        <v>350</v>
      </c>
      <c r="AA13">
        <v>410</v>
      </c>
      <c r="AB13">
        <v>499</v>
      </c>
      <c r="AC13">
        <v>547</v>
      </c>
      <c r="AD13">
        <v>520</v>
      </c>
      <c r="AE13">
        <v>550</v>
      </c>
      <c r="AF13">
        <v>551</v>
      </c>
      <c r="AG13">
        <v>573</v>
      </c>
      <c r="AH13" s="14">
        <v>472</v>
      </c>
      <c r="AI13">
        <v>114</v>
      </c>
      <c r="AJ13">
        <v>184</v>
      </c>
      <c r="AK13">
        <v>287</v>
      </c>
      <c r="AL13">
        <v>404</v>
      </c>
      <c r="AM13">
        <v>521</v>
      </c>
      <c r="AN13">
        <v>641</v>
      </c>
      <c r="AO13">
        <v>734</v>
      </c>
      <c r="AP13">
        <v>742</v>
      </c>
      <c r="AQ13">
        <v>848</v>
      </c>
      <c r="AR13">
        <v>956</v>
      </c>
      <c r="AS13">
        <v>1065</v>
      </c>
      <c r="AT13">
        <v>1065</v>
      </c>
    </row>
    <row r="14" spans="1:46" x14ac:dyDescent="0.15">
      <c r="A14" s="30" t="s">
        <v>39</v>
      </c>
      <c r="B14">
        <v>11022</v>
      </c>
      <c r="C14">
        <v>550</v>
      </c>
      <c r="D14" s="14">
        <v>9000</v>
      </c>
      <c r="E14">
        <v>14644</v>
      </c>
      <c r="F14">
        <v>780</v>
      </c>
      <c r="G14" s="14">
        <v>8670</v>
      </c>
      <c r="H14">
        <v>13112</v>
      </c>
      <c r="I14">
        <v>474</v>
      </c>
      <c r="J14" s="14">
        <v>8193</v>
      </c>
      <c r="K14">
        <v>62</v>
      </c>
      <c r="L14">
        <v>144</v>
      </c>
      <c r="M14">
        <v>167</v>
      </c>
      <c r="N14">
        <v>201</v>
      </c>
      <c r="O14">
        <v>319</v>
      </c>
      <c r="P14">
        <v>550</v>
      </c>
      <c r="W14" s="29">
        <v>146</v>
      </c>
      <c r="X14">
        <v>307</v>
      </c>
      <c r="Y14">
        <v>433</v>
      </c>
      <c r="Z14">
        <v>560</v>
      </c>
      <c r="AA14">
        <v>669</v>
      </c>
      <c r="AB14">
        <v>780</v>
      </c>
      <c r="AC14">
        <v>884</v>
      </c>
      <c r="AD14">
        <v>1263</v>
      </c>
      <c r="AE14">
        <v>1263</v>
      </c>
      <c r="AF14">
        <v>1263</v>
      </c>
      <c r="AG14">
        <v>1265</v>
      </c>
      <c r="AH14" s="14">
        <v>1275</v>
      </c>
      <c r="AI14">
        <v>36</v>
      </c>
      <c r="AJ14">
        <v>154</v>
      </c>
      <c r="AK14">
        <v>248</v>
      </c>
      <c r="AL14">
        <v>359</v>
      </c>
      <c r="AM14">
        <v>441</v>
      </c>
      <c r="AN14">
        <v>474</v>
      </c>
      <c r="AO14">
        <v>525</v>
      </c>
      <c r="AP14">
        <v>587</v>
      </c>
      <c r="AQ14">
        <v>649</v>
      </c>
      <c r="AR14">
        <v>693</v>
      </c>
      <c r="AS14">
        <v>754</v>
      </c>
      <c r="AT14">
        <v>714</v>
      </c>
    </row>
    <row r="15" spans="1:46" x14ac:dyDescent="0.15">
      <c r="A15" s="30" t="s">
        <v>40</v>
      </c>
      <c r="B15">
        <v>8905</v>
      </c>
      <c r="C15">
        <v>469</v>
      </c>
      <c r="D15" s="14">
        <v>6026</v>
      </c>
      <c r="E15">
        <v>8796</v>
      </c>
      <c r="F15">
        <v>316</v>
      </c>
      <c r="G15" s="14">
        <v>6251</v>
      </c>
      <c r="H15">
        <v>9096</v>
      </c>
      <c r="I15">
        <v>620</v>
      </c>
      <c r="J15" s="14">
        <v>5804</v>
      </c>
      <c r="K15">
        <v>24</v>
      </c>
      <c r="L15">
        <v>81</v>
      </c>
      <c r="M15">
        <v>150</v>
      </c>
      <c r="N15">
        <v>314</v>
      </c>
      <c r="O15">
        <v>403</v>
      </c>
      <c r="P15">
        <v>469</v>
      </c>
      <c r="W15" s="29">
        <v>42</v>
      </c>
      <c r="X15">
        <v>63</v>
      </c>
      <c r="Y15">
        <v>128</v>
      </c>
      <c r="Z15">
        <v>142</v>
      </c>
      <c r="AA15">
        <v>214</v>
      </c>
      <c r="AB15">
        <v>316</v>
      </c>
      <c r="AC15">
        <v>419</v>
      </c>
      <c r="AD15">
        <v>491</v>
      </c>
      <c r="AE15">
        <v>576</v>
      </c>
      <c r="AF15">
        <v>644</v>
      </c>
      <c r="AG15">
        <v>650</v>
      </c>
      <c r="AH15" s="14">
        <v>551</v>
      </c>
      <c r="AI15">
        <v>100</v>
      </c>
      <c r="AJ15">
        <v>204</v>
      </c>
      <c r="AK15">
        <v>293</v>
      </c>
      <c r="AL15">
        <v>422</v>
      </c>
      <c r="AM15">
        <v>513</v>
      </c>
      <c r="AN15">
        <v>620</v>
      </c>
      <c r="AO15">
        <v>722</v>
      </c>
      <c r="AP15">
        <v>748</v>
      </c>
      <c r="AQ15">
        <v>846</v>
      </c>
      <c r="AR15">
        <v>942</v>
      </c>
      <c r="AS15">
        <v>1050</v>
      </c>
      <c r="AT15">
        <v>1161</v>
      </c>
    </row>
    <row r="16" spans="1:46" x14ac:dyDescent="0.15">
      <c r="A16" s="30" t="s">
        <v>41</v>
      </c>
      <c r="B16">
        <v>16735</v>
      </c>
      <c r="C16">
        <v>800</v>
      </c>
      <c r="D16" s="14">
        <v>10149</v>
      </c>
      <c r="E16">
        <v>17503</v>
      </c>
      <c r="F16">
        <v>1083</v>
      </c>
      <c r="G16" s="14">
        <v>10507</v>
      </c>
      <c r="H16">
        <v>18207</v>
      </c>
      <c r="I16">
        <v>1176</v>
      </c>
      <c r="J16" s="14">
        <v>10508</v>
      </c>
      <c r="K16">
        <v>140</v>
      </c>
      <c r="L16">
        <v>280</v>
      </c>
      <c r="M16">
        <v>390</v>
      </c>
      <c r="N16">
        <v>460</v>
      </c>
      <c r="O16">
        <v>670</v>
      </c>
      <c r="P16">
        <v>800</v>
      </c>
      <c r="W16" s="29">
        <v>69</v>
      </c>
      <c r="X16">
        <v>194</v>
      </c>
      <c r="Y16">
        <v>401</v>
      </c>
      <c r="Z16">
        <v>668</v>
      </c>
      <c r="AA16">
        <v>864</v>
      </c>
      <c r="AB16">
        <v>1083</v>
      </c>
      <c r="AC16">
        <v>1363</v>
      </c>
      <c r="AD16">
        <v>1364</v>
      </c>
      <c r="AE16">
        <v>1483</v>
      </c>
      <c r="AF16">
        <v>1720</v>
      </c>
      <c r="AG16">
        <v>1909</v>
      </c>
      <c r="AH16" s="14">
        <v>1913</v>
      </c>
      <c r="AI16">
        <v>79</v>
      </c>
      <c r="AJ16">
        <v>227</v>
      </c>
      <c r="AK16">
        <v>459</v>
      </c>
      <c r="AL16">
        <v>700</v>
      </c>
      <c r="AM16">
        <v>939</v>
      </c>
      <c r="AN16">
        <v>1176</v>
      </c>
      <c r="AO16">
        <v>1417</v>
      </c>
      <c r="AP16">
        <v>1417</v>
      </c>
      <c r="AQ16">
        <v>1605</v>
      </c>
      <c r="AR16">
        <v>1928</v>
      </c>
      <c r="AS16">
        <v>2257</v>
      </c>
      <c r="AT16">
        <v>2428</v>
      </c>
    </row>
    <row r="17" spans="1:46" x14ac:dyDescent="0.15">
      <c r="A17" s="30" t="s">
        <v>42</v>
      </c>
      <c r="B17">
        <v>3635</v>
      </c>
      <c r="C17">
        <v>96</v>
      </c>
      <c r="D17" s="14">
        <v>2050</v>
      </c>
      <c r="E17">
        <v>2337</v>
      </c>
      <c r="F17">
        <v>90</v>
      </c>
      <c r="G17" s="14">
        <v>1585</v>
      </c>
      <c r="H17">
        <v>3579</v>
      </c>
      <c r="I17">
        <v>184</v>
      </c>
      <c r="J17" s="14">
        <v>1396</v>
      </c>
      <c r="K17">
        <v>9</v>
      </c>
      <c r="L17">
        <v>17</v>
      </c>
      <c r="M17">
        <v>20</v>
      </c>
      <c r="N17">
        <v>15</v>
      </c>
      <c r="O17">
        <v>31</v>
      </c>
      <c r="P17">
        <v>96</v>
      </c>
      <c r="W17" s="29">
        <v>17</v>
      </c>
      <c r="X17">
        <v>29</v>
      </c>
      <c r="Y17">
        <v>44</v>
      </c>
      <c r="Z17">
        <v>45</v>
      </c>
      <c r="AA17">
        <v>48</v>
      </c>
      <c r="AB17">
        <v>55</v>
      </c>
      <c r="AC17">
        <v>58</v>
      </c>
      <c r="AD17">
        <v>35</v>
      </c>
      <c r="AE17">
        <v>41</v>
      </c>
      <c r="AF17">
        <v>138</v>
      </c>
      <c r="AG17">
        <v>203</v>
      </c>
      <c r="AH17" s="14">
        <v>298</v>
      </c>
      <c r="AI17">
        <v>31</v>
      </c>
      <c r="AJ17">
        <v>61</v>
      </c>
      <c r="AK17">
        <v>92</v>
      </c>
      <c r="AL17">
        <v>123</v>
      </c>
      <c r="AM17">
        <v>153</v>
      </c>
      <c r="AN17">
        <v>184</v>
      </c>
      <c r="AO17">
        <v>215</v>
      </c>
      <c r="AP17">
        <v>245</v>
      </c>
      <c r="AQ17">
        <v>276</v>
      </c>
      <c r="AR17">
        <v>307</v>
      </c>
      <c r="AS17">
        <v>337</v>
      </c>
      <c r="AT17">
        <v>368</v>
      </c>
    </row>
    <row r="18" spans="1:46" x14ac:dyDescent="0.15">
      <c r="A18" s="30" t="s">
        <v>43</v>
      </c>
      <c r="B18">
        <v>15627</v>
      </c>
      <c r="C18">
        <v>1996</v>
      </c>
      <c r="D18" s="14">
        <v>9397</v>
      </c>
      <c r="E18">
        <v>15357</v>
      </c>
      <c r="F18">
        <v>1908</v>
      </c>
      <c r="G18" s="14">
        <v>9702</v>
      </c>
      <c r="H18">
        <v>14634</v>
      </c>
      <c r="I18">
        <v>1584</v>
      </c>
      <c r="J18" s="14">
        <v>9527</v>
      </c>
      <c r="K18">
        <v>73</v>
      </c>
      <c r="L18">
        <v>240</v>
      </c>
      <c r="M18">
        <v>626</v>
      </c>
      <c r="N18">
        <v>1100</v>
      </c>
      <c r="O18">
        <v>1558</v>
      </c>
      <c r="P18">
        <v>1996</v>
      </c>
      <c r="W18" s="29">
        <v>48</v>
      </c>
      <c r="X18">
        <v>231</v>
      </c>
      <c r="Y18">
        <v>575</v>
      </c>
      <c r="Z18">
        <v>968</v>
      </c>
      <c r="AA18">
        <v>1432</v>
      </c>
      <c r="AB18">
        <v>1908</v>
      </c>
      <c r="AC18">
        <v>2413</v>
      </c>
      <c r="AD18">
        <v>2869</v>
      </c>
      <c r="AE18">
        <v>3230</v>
      </c>
      <c r="AF18">
        <v>3594</v>
      </c>
      <c r="AG18">
        <v>3595</v>
      </c>
      <c r="AH18" s="14">
        <v>3600</v>
      </c>
      <c r="AI18">
        <v>48</v>
      </c>
      <c r="AJ18">
        <v>105</v>
      </c>
      <c r="AK18">
        <v>507</v>
      </c>
      <c r="AL18">
        <v>791</v>
      </c>
      <c r="AM18">
        <v>1165</v>
      </c>
      <c r="AN18">
        <v>1584</v>
      </c>
      <c r="AO18">
        <v>2015</v>
      </c>
      <c r="AP18">
        <v>2350</v>
      </c>
      <c r="AQ18">
        <v>2656</v>
      </c>
      <c r="AR18">
        <v>2872</v>
      </c>
      <c r="AS18">
        <v>3141</v>
      </c>
      <c r="AT18">
        <v>3259</v>
      </c>
    </row>
    <row r="19" spans="1:46" x14ac:dyDescent="0.15">
      <c r="A19" s="30" t="s">
        <v>44</v>
      </c>
      <c r="B19">
        <v>7270</v>
      </c>
      <c r="C19">
        <v>150</v>
      </c>
      <c r="D19" s="14">
        <v>8948</v>
      </c>
      <c r="E19">
        <v>7119</v>
      </c>
      <c r="F19">
        <v>349</v>
      </c>
      <c r="G19" s="14">
        <v>8520</v>
      </c>
      <c r="H19">
        <v>7158</v>
      </c>
      <c r="I19">
        <v>120</v>
      </c>
      <c r="J19" s="14">
        <v>8630</v>
      </c>
      <c r="K19">
        <v>19</v>
      </c>
      <c r="L19">
        <v>43</v>
      </c>
      <c r="M19">
        <v>73</v>
      </c>
      <c r="N19">
        <v>80</v>
      </c>
      <c r="O19">
        <v>142</v>
      </c>
      <c r="P19">
        <v>150</v>
      </c>
      <c r="W19" s="29">
        <v>46</v>
      </c>
      <c r="X19">
        <v>107</v>
      </c>
      <c r="Y19">
        <v>190</v>
      </c>
      <c r="Z19">
        <v>263</v>
      </c>
      <c r="AA19">
        <v>308</v>
      </c>
      <c r="AB19">
        <v>349</v>
      </c>
      <c r="AC19">
        <v>377</v>
      </c>
      <c r="AD19">
        <v>516</v>
      </c>
      <c r="AE19">
        <v>566</v>
      </c>
      <c r="AF19">
        <v>592</v>
      </c>
      <c r="AG19">
        <v>591</v>
      </c>
      <c r="AH19" s="14">
        <v>593</v>
      </c>
      <c r="AI19">
        <v>5</v>
      </c>
      <c r="AJ19">
        <v>13</v>
      </c>
      <c r="AK19">
        <v>25</v>
      </c>
      <c r="AL19">
        <v>29</v>
      </c>
      <c r="AM19">
        <v>36</v>
      </c>
      <c r="AN19">
        <v>48</v>
      </c>
      <c r="AO19">
        <v>60</v>
      </c>
      <c r="AP19">
        <v>46</v>
      </c>
      <c r="AQ19">
        <v>60</v>
      </c>
      <c r="AR19">
        <v>65</v>
      </c>
      <c r="AS19">
        <v>61</v>
      </c>
      <c r="AT19">
        <v>39</v>
      </c>
    </row>
    <row r="20" spans="1:46" x14ac:dyDescent="0.15">
      <c r="A20" t="s">
        <v>45</v>
      </c>
      <c r="B20">
        <v>5955</v>
      </c>
      <c r="C20">
        <v>260</v>
      </c>
      <c r="D20" s="14">
        <v>5931</v>
      </c>
      <c r="E20">
        <v>5612</v>
      </c>
      <c r="F20">
        <v>233</v>
      </c>
      <c r="G20" s="14">
        <v>5128</v>
      </c>
      <c r="H20">
        <v>5977</v>
      </c>
      <c r="I20">
        <v>210</v>
      </c>
      <c r="J20" s="14">
        <v>4722</v>
      </c>
      <c r="K20">
        <v>30</v>
      </c>
      <c r="L20">
        <v>70</v>
      </c>
      <c r="M20">
        <v>80</v>
      </c>
      <c r="N20">
        <v>110</v>
      </c>
      <c r="O20">
        <v>120</v>
      </c>
      <c r="P20">
        <v>260</v>
      </c>
      <c r="W20" s="29">
        <v>88</v>
      </c>
      <c r="X20">
        <v>151</v>
      </c>
      <c r="Y20">
        <v>200</v>
      </c>
      <c r="Z20">
        <v>226</v>
      </c>
      <c r="AA20">
        <v>232</v>
      </c>
      <c r="AB20">
        <v>233</v>
      </c>
      <c r="AC20">
        <v>235</v>
      </c>
      <c r="AD20">
        <v>213</v>
      </c>
      <c r="AE20">
        <v>236</v>
      </c>
      <c r="AF20">
        <v>194</v>
      </c>
      <c r="AG20">
        <v>198</v>
      </c>
      <c r="AH20" s="14">
        <v>200</v>
      </c>
      <c r="AI20">
        <v>3</v>
      </c>
      <c r="AJ20">
        <v>10</v>
      </c>
      <c r="AK20">
        <v>20</v>
      </c>
      <c r="AL20">
        <v>23</v>
      </c>
      <c r="AM20">
        <v>30</v>
      </c>
      <c r="AN20">
        <v>40</v>
      </c>
      <c r="AO20">
        <v>49</v>
      </c>
      <c r="AP20">
        <v>37</v>
      </c>
      <c r="AQ20">
        <v>49</v>
      </c>
      <c r="AR20">
        <v>54</v>
      </c>
      <c r="AS20">
        <v>53</v>
      </c>
      <c r="AT20">
        <v>37</v>
      </c>
    </row>
    <row r="21" spans="1:46" x14ac:dyDescent="0.15">
      <c r="A21" s="30" t="s">
        <v>46</v>
      </c>
      <c r="B21">
        <v>7666</v>
      </c>
      <c r="C21">
        <v>274</v>
      </c>
      <c r="D21" s="14">
        <v>6624</v>
      </c>
      <c r="E21">
        <v>5060</v>
      </c>
      <c r="F21">
        <v>369</v>
      </c>
      <c r="G21" s="14">
        <v>5174</v>
      </c>
      <c r="H21">
        <v>7099</v>
      </c>
      <c r="I21">
        <v>230</v>
      </c>
      <c r="J21" s="14">
        <v>6253</v>
      </c>
      <c r="K21">
        <v>47</v>
      </c>
      <c r="L21">
        <v>117</v>
      </c>
      <c r="M21">
        <v>164</v>
      </c>
      <c r="N21">
        <v>220</v>
      </c>
      <c r="O21">
        <v>236</v>
      </c>
      <c r="P21">
        <v>274</v>
      </c>
      <c r="W21" s="29">
        <v>120</v>
      </c>
      <c r="X21">
        <v>134</v>
      </c>
      <c r="Y21">
        <v>156</v>
      </c>
      <c r="Z21">
        <v>176</v>
      </c>
      <c r="AA21">
        <v>198</v>
      </c>
      <c r="AB21">
        <v>212</v>
      </c>
      <c r="AC21">
        <v>234</v>
      </c>
      <c r="AD21">
        <v>266</v>
      </c>
      <c r="AE21">
        <v>279</v>
      </c>
      <c r="AF21">
        <v>360</v>
      </c>
      <c r="AG21">
        <v>388</v>
      </c>
      <c r="AH21" s="14">
        <v>450</v>
      </c>
      <c r="AI21">
        <v>5</v>
      </c>
      <c r="AJ21">
        <v>15</v>
      </c>
      <c r="AK21">
        <v>39</v>
      </c>
      <c r="AL21">
        <v>48</v>
      </c>
      <c r="AM21">
        <v>56</v>
      </c>
      <c r="AN21">
        <v>148</v>
      </c>
      <c r="AO21">
        <v>211</v>
      </c>
      <c r="AP21">
        <v>289</v>
      </c>
      <c r="AQ21">
        <v>307</v>
      </c>
      <c r="AR21">
        <v>363</v>
      </c>
      <c r="AS21">
        <v>380</v>
      </c>
      <c r="AT21">
        <v>355</v>
      </c>
    </row>
    <row r="22" spans="1:46" x14ac:dyDescent="0.15">
      <c r="A22" s="30" t="s">
        <v>47</v>
      </c>
      <c r="B22">
        <v>10857</v>
      </c>
      <c r="C22">
        <v>281</v>
      </c>
      <c r="D22" s="14">
        <v>4396</v>
      </c>
      <c r="E22">
        <v>10547</v>
      </c>
      <c r="F22">
        <v>281</v>
      </c>
      <c r="G22" s="14">
        <v>4979</v>
      </c>
      <c r="H22">
        <v>10799</v>
      </c>
      <c r="I22">
        <v>333</v>
      </c>
      <c r="J22" s="14">
        <v>4779</v>
      </c>
      <c r="K22">
        <v>59</v>
      </c>
      <c r="L22">
        <v>109</v>
      </c>
      <c r="M22">
        <v>137</v>
      </c>
      <c r="N22">
        <v>191</v>
      </c>
      <c r="O22">
        <v>232</v>
      </c>
      <c r="P22">
        <v>281</v>
      </c>
      <c r="W22" s="29">
        <v>68</v>
      </c>
      <c r="X22">
        <v>87</v>
      </c>
      <c r="Y22">
        <v>137</v>
      </c>
      <c r="Z22">
        <v>176</v>
      </c>
      <c r="AA22">
        <v>219</v>
      </c>
      <c r="AB22">
        <v>281</v>
      </c>
      <c r="AC22">
        <v>295</v>
      </c>
      <c r="AD22">
        <v>330</v>
      </c>
      <c r="AE22">
        <v>440</v>
      </c>
      <c r="AF22">
        <v>480</v>
      </c>
      <c r="AG22">
        <v>554</v>
      </c>
      <c r="AH22" s="14">
        <v>555</v>
      </c>
      <c r="AI22">
        <v>70</v>
      </c>
      <c r="AJ22">
        <v>117</v>
      </c>
      <c r="AK22">
        <v>151</v>
      </c>
      <c r="AL22">
        <v>214</v>
      </c>
      <c r="AM22">
        <v>264</v>
      </c>
      <c r="AN22">
        <v>333</v>
      </c>
      <c r="AO22">
        <v>374</v>
      </c>
      <c r="AP22">
        <v>387</v>
      </c>
      <c r="AQ22">
        <v>459</v>
      </c>
      <c r="AR22">
        <v>532</v>
      </c>
      <c r="AS22">
        <v>606</v>
      </c>
      <c r="AT22">
        <v>650</v>
      </c>
    </row>
    <row r="23" spans="1:46" x14ac:dyDescent="0.15">
      <c r="A23" s="30" t="s">
        <v>48</v>
      </c>
      <c r="B23">
        <v>9873</v>
      </c>
      <c r="C23">
        <v>370</v>
      </c>
      <c r="D23" s="14">
        <v>7076</v>
      </c>
      <c r="E23">
        <v>11069</v>
      </c>
      <c r="F23">
        <v>652</v>
      </c>
      <c r="G23" s="14">
        <v>6853</v>
      </c>
      <c r="H23">
        <v>10500</v>
      </c>
      <c r="I23">
        <v>637</v>
      </c>
      <c r="J23" s="14">
        <v>8490</v>
      </c>
      <c r="K23">
        <v>30</v>
      </c>
      <c r="L23">
        <v>90</v>
      </c>
      <c r="M23">
        <v>166</v>
      </c>
      <c r="N23">
        <v>227</v>
      </c>
      <c r="O23">
        <v>304</v>
      </c>
      <c r="P23">
        <v>370</v>
      </c>
      <c r="W23" s="29">
        <v>139</v>
      </c>
      <c r="X23">
        <v>264</v>
      </c>
      <c r="Y23">
        <v>409</v>
      </c>
      <c r="Z23">
        <v>519</v>
      </c>
      <c r="AA23">
        <v>580</v>
      </c>
      <c r="AB23">
        <v>652</v>
      </c>
      <c r="AC23">
        <v>690</v>
      </c>
      <c r="AD23">
        <v>593</v>
      </c>
      <c r="AE23">
        <v>619</v>
      </c>
      <c r="AF23">
        <v>622</v>
      </c>
      <c r="AG23">
        <v>680</v>
      </c>
      <c r="AH23" s="14">
        <v>682</v>
      </c>
      <c r="AI23">
        <v>110</v>
      </c>
      <c r="AJ23">
        <v>214</v>
      </c>
      <c r="AK23">
        <v>323</v>
      </c>
      <c r="AL23">
        <v>426</v>
      </c>
      <c r="AM23">
        <v>535</v>
      </c>
      <c r="AN23">
        <v>637</v>
      </c>
      <c r="AO23">
        <v>765</v>
      </c>
      <c r="AP23">
        <v>771</v>
      </c>
      <c r="AQ23">
        <v>878</v>
      </c>
      <c r="AR23">
        <v>1005</v>
      </c>
      <c r="AS23">
        <v>1105</v>
      </c>
      <c r="AT23">
        <v>1130</v>
      </c>
    </row>
    <row r="24" spans="1:46" x14ac:dyDescent="0.15">
      <c r="A24" s="30" t="s">
        <v>49</v>
      </c>
      <c r="B24">
        <v>6405</v>
      </c>
      <c r="C24">
        <v>363</v>
      </c>
      <c r="D24" s="14">
        <v>1389</v>
      </c>
      <c r="E24">
        <v>5995</v>
      </c>
      <c r="F24">
        <v>268</v>
      </c>
      <c r="G24" s="14">
        <v>1708</v>
      </c>
      <c r="H24">
        <v>5819</v>
      </c>
      <c r="I24">
        <v>248</v>
      </c>
      <c r="J24" s="14">
        <v>2226</v>
      </c>
      <c r="K24">
        <v>34</v>
      </c>
      <c r="L24">
        <v>80</v>
      </c>
      <c r="M24">
        <v>151</v>
      </c>
      <c r="N24">
        <v>214</v>
      </c>
      <c r="O24">
        <v>283</v>
      </c>
      <c r="P24">
        <v>363</v>
      </c>
      <c r="W24" s="29">
        <v>16</v>
      </c>
      <c r="X24">
        <v>37</v>
      </c>
      <c r="Y24">
        <v>83</v>
      </c>
      <c r="Z24">
        <v>161</v>
      </c>
      <c r="AA24">
        <v>192</v>
      </c>
      <c r="AB24">
        <v>268</v>
      </c>
      <c r="AC24">
        <v>286</v>
      </c>
      <c r="AD24">
        <v>269</v>
      </c>
      <c r="AE24">
        <v>339</v>
      </c>
      <c r="AF24">
        <v>383</v>
      </c>
      <c r="AG24">
        <v>367</v>
      </c>
      <c r="AH24" s="14">
        <v>464</v>
      </c>
      <c r="AI24">
        <v>24</v>
      </c>
      <c r="AJ24">
        <v>54</v>
      </c>
      <c r="AK24">
        <v>100</v>
      </c>
      <c r="AL24">
        <v>142</v>
      </c>
      <c r="AM24">
        <v>194</v>
      </c>
      <c r="AN24">
        <v>248</v>
      </c>
      <c r="AO24">
        <v>299</v>
      </c>
      <c r="AP24">
        <v>299</v>
      </c>
      <c r="AQ24">
        <v>345</v>
      </c>
      <c r="AR24">
        <v>391</v>
      </c>
      <c r="AS24">
        <v>432</v>
      </c>
      <c r="AT24">
        <v>431</v>
      </c>
    </row>
    <row r="25" spans="1:46" x14ac:dyDescent="0.15">
      <c r="A25" t="s">
        <v>50</v>
      </c>
      <c r="B25">
        <v>210616</v>
      </c>
      <c r="C25">
        <v>12324.3</v>
      </c>
      <c r="D25" s="14">
        <v>95902.1</v>
      </c>
      <c r="E25">
        <v>199893.6</v>
      </c>
      <c r="F25">
        <v>9835.9000000000015</v>
      </c>
      <c r="G25" s="14">
        <v>101383.6</v>
      </c>
      <c r="H25">
        <v>198526.40000000002</v>
      </c>
      <c r="I25">
        <v>11343.8</v>
      </c>
      <c r="J25" s="14">
        <v>100022.6</v>
      </c>
      <c r="K25">
        <v>1523.4</v>
      </c>
      <c r="L25">
        <v>3029.7</v>
      </c>
      <c r="M25">
        <v>4948.3999999999996</v>
      </c>
      <c r="N25">
        <v>7267</v>
      </c>
      <c r="O25">
        <v>10245.5</v>
      </c>
      <c r="P25">
        <v>12324.3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29">
        <v>1228</v>
      </c>
      <c r="X25">
        <v>2468.6999999999998</v>
      </c>
      <c r="Y25">
        <v>4022.1000000000004</v>
      </c>
      <c r="Z25">
        <v>5341.2</v>
      </c>
      <c r="AA25">
        <v>6926.7</v>
      </c>
      <c r="AB25">
        <v>8526.7000000000007</v>
      </c>
      <c r="AC25">
        <v>10423.9</v>
      </c>
      <c r="AD25">
        <v>10992.900000000001</v>
      </c>
      <c r="AE25">
        <v>12312.1</v>
      </c>
      <c r="AF25">
        <v>13498.900000000001</v>
      </c>
      <c r="AG25">
        <v>14643</v>
      </c>
      <c r="AH25" s="14">
        <v>15391.900000000001</v>
      </c>
      <c r="AI25">
        <v>1469.7</v>
      </c>
      <c r="AJ25">
        <v>2920.6000000000004</v>
      </c>
      <c r="AK25">
        <v>4767.3999999999996</v>
      </c>
      <c r="AL25">
        <v>6226.2999999999993</v>
      </c>
      <c r="AM25">
        <v>8272.5</v>
      </c>
      <c r="AN25">
        <v>10141.400000000001</v>
      </c>
      <c r="AO25">
        <v>12032.099999999999</v>
      </c>
      <c r="AP25">
        <v>12476.8</v>
      </c>
      <c r="AQ25">
        <v>14357.9</v>
      </c>
      <c r="AR25">
        <v>15804.7</v>
      </c>
      <c r="AS25">
        <v>17385.599999999999</v>
      </c>
      <c r="AT25">
        <v>17750.2</v>
      </c>
    </row>
    <row r="26" spans="1:46" x14ac:dyDescent="0.15">
      <c r="A26" t="s">
        <v>51</v>
      </c>
      <c r="B26">
        <v>11649</v>
      </c>
      <c r="C26">
        <v>802</v>
      </c>
      <c r="D26" s="14">
        <v>5956</v>
      </c>
      <c r="E26">
        <v>10414</v>
      </c>
      <c r="F26">
        <v>536</v>
      </c>
      <c r="G26" s="14">
        <v>6713</v>
      </c>
      <c r="H26">
        <v>10593</v>
      </c>
      <c r="I26">
        <v>554</v>
      </c>
      <c r="J26" s="14">
        <v>6803</v>
      </c>
      <c r="K26">
        <v>55</v>
      </c>
      <c r="L26">
        <v>58</v>
      </c>
      <c r="M26">
        <v>212</v>
      </c>
      <c r="N26">
        <v>410</v>
      </c>
      <c r="O26">
        <v>638</v>
      </c>
      <c r="P26">
        <v>802</v>
      </c>
      <c r="W26" s="29">
        <v>24</v>
      </c>
      <c r="X26">
        <v>123</v>
      </c>
      <c r="Y26">
        <v>208</v>
      </c>
      <c r="Z26">
        <v>229</v>
      </c>
      <c r="AA26">
        <v>397</v>
      </c>
      <c r="AB26">
        <v>536</v>
      </c>
      <c r="AC26">
        <v>849</v>
      </c>
      <c r="AD26">
        <v>791</v>
      </c>
      <c r="AE26">
        <v>917</v>
      </c>
      <c r="AF26">
        <v>1073</v>
      </c>
      <c r="AG26">
        <v>1056</v>
      </c>
      <c r="AH26" s="14">
        <v>1217</v>
      </c>
      <c r="AI26">
        <v>26</v>
      </c>
      <c r="AJ26">
        <v>68</v>
      </c>
      <c r="AK26">
        <v>125</v>
      </c>
      <c r="AL26">
        <v>227</v>
      </c>
      <c r="AM26">
        <v>406</v>
      </c>
      <c r="AN26">
        <v>554</v>
      </c>
      <c r="AO26">
        <v>749</v>
      </c>
      <c r="AP26">
        <v>724</v>
      </c>
      <c r="AQ26">
        <v>872</v>
      </c>
      <c r="AR26">
        <v>973</v>
      </c>
      <c r="AS26">
        <v>1028</v>
      </c>
      <c r="AT26">
        <v>1064</v>
      </c>
    </row>
    <row r="27" spans="1:46" x14ac:dyDescent="0.15">
      <c r="A27" t="s">
        <v>52</v>
      </c>
      <c r="B27">
        <v>7718</v>
      </c>
      <c r="C27">
        <v>876</v>
      </c>
      <c r="D27" s="14">
        <v>8432</v>
      </c>
      <c r="E27">
        <v>7282</v>
      </c>
      <c r="F27">
        <v>775</v>
      </c>
      <c r="G27" s="14">
        <v>8242</v>
      </c>
      <c r="H27">
        <v>6409</v>
      </c>
      <c r="I27">
        <v>654</v>
      </c>
      <c r="J27" s="14">
        <v>8312</v>
      </c>
      <c r="K27">
        <v>69</v>
      </c>
      <c r="L27">
        <v>157</v>
      </c>
      <c r="M27">
        <v>276</v>
      </c>
      <c r="N27">
        <v>455</v>
      </c>
      <c r="O27">
        <v>671</v>
      </c>
      <c r="P27">
        <v>876</v>
      </c>
      <c r="W27" s="29">
        <v>55</v>
      </c>
      <c r="X27">
        <v>142</v>
      </c>
      <c r="Y27">
        <v>250</v>
      </c>
      <c r="Z27">
        <v>338</v>
      </c>
      <c r="AA27">
        <v>574</v>
      </c>
      <c r="AB27">
        <v>775</v>
      </c>
      <c r="AC27">
        <v>1075</v>
      </c>
      <c r="AD27">
        <v>1146</v>
      </c>
      <c r="AE27">
        <v>1360</v>
      </c>
      <c r="AF27">
        <v>1567</v>
      </c>
      <c r="AG27">
        <v>1733</v>
      </c>
      <c r="AH27" s="14">
        <v>1709</v>
      </c>
      <c r="AI27">
        <v>59</v>
      </c>
      <c r="AJ27">
        <v>129</v>
      </c>
      <c r="AK27">
        <v>211</v>
      </c>
      <c r="AL27">
        <v>315</v>
      </c>
      <c r="AM27">
        <v>496</v>
      </c>
      <c r="AN27">
        <v>654</v>
      </c>
      <c r="AO27">
        <v>835</v>
      </c>
      <c r="AP27">
        <v>863</v>
      </c>
      <c r="AQ27">
        <v>997</v>
      </c>
      <c r="AR27">
        <v>1096</v>
      </c>
      <c r="AS27">
        <v>1183</v>
      </c>
      <c r="AT27">
        <v>1241</v>
      </c>
    </row>
    <row r="28" spans="1:46" x14ac:dyDescent="0.15">
      <c r="A28" t="s">
        <v>53</v>
      </c>
      <c r="B28">
        <v>15033</v>
      </c>
      <c r="C28">
        <v>469</v>
      </c>
      <c r="D28" s="14">
        <v>3512</v>
      </c>
      <c r="E28">
        <v>15064</v>
      </c>
      <c r="F28">
        <v>392</v>
      </c>
      <c r="G28" s="14">
        <v>3488</v>
      </c>
      <c r="H28">
        <v>12724</v>
      </c>
      <c r="I28">
        <v>530</v>
      </c>
      <c r="J28" s="14">
        <v>3347</v>
      </c>
      <c r="K28">
        <v>100</v>
      </c>
      <c r="L28">
        <v>154</v>
      </c>
      <c r="M28">
        <v>215</v>
      </c>
      <c r="N28">
        <v>280</v>
      </c>
      <c r="O28">
        <v>389</v>
      </c>
      <c r="P28">
        <v>469</v>
      </c>
      <c r="W28" s="29">
        <v>2</v>
      </c>
      <c r="X28">
        <v>44</v>
      </c>
      <c r="Y28">
        <v>102</v>
      </c>
      <c r="Z28">
        <v>206</v>
      </c>
      <c r="AA28">
        <v>269</v>
      </c>
      <c r="AB28">
        <v>392</v>
      </c>
      <c r="AC28">
        <v>528</v>
      </c>
      <c r="AD28">
        <v>616</v>
      </c>
      <c r="AE28">
        <v>724</v>
      </c>
      <c r="AF28">
        <v>754</v>
      </c>
      <c r="AG28">
        <v>737</v>
      </c>
      <c r="AH28" s="14">
        <v>702</v>
      </c>
      <c r="AI28">
        <v>82</v>
      </c>
      <c r="AJ28">
        <v>164</v>
      </c>
      <c r="AK28">
        <v>283</v>
      </c>
      <c r="AL28">
        <v>353</v>
      </c>
      <c r="AM28">
        <v>454</v>
      </c>
      <c r="AN28">
        <v>530</v>
      </c>
      <c r="AO28">
        <v>648</v>
      </c>
      <c r="AP28">
        <v>742</v>
      </c>
      <c r="AQ28">
        <v>791</v>
      </c>
      <c r="AR28">
        <v>812</v>
      </c>
      <c r="AS28">
        <v>763</v>
      </c>
      <c r="AT28">
        <v>770</v>
      </c>
    </row>
    <row r="29" spans="1:46" x14ac:dyDescent="0.15">
      <c r="A29" t="s">
        <v>54</v>
      </c>
      <c r="B29">
        <v>21579</v>
      </c>
      <c r="C29">
        <v>920</v>
      </c>
      <c r="D29" s="14">
        <v>7461</v>
      </c>
      <c r="E29">
        <v>20686</v>
      </c>
      <c r="F29">
        <v>653</v>
      </c>
      <c r="G29" s="14">
        <v>8589</v>
      </c>
      <c r="H29">
        <v>20478</v>
      </c>
      <c r="I29">
        <v>658</v>
      </c>
      <c r="J29" s="14">
        <v>7602</v>
      </c>
      <c r="K29">
        <v>170</v>
      </c>
      <c r="L29">
        <v>316</v>
      </c>
      <c r="M29">
        <v>478</v>
      </c>
      <c r="N29">
        <v>626</v>
      </c>
      <c r="O29">
        <v>788</v>
      </c>
      <c r="P29">
        <v>920</v>
      </c>
      <c r="W29" s="29">
        <v>162</v>
      </c>
      <c r="X29">
        <v>292</v>
      </c>
      <c r="Y29">
        <v>399</v>
      </c>
      <c r="Z29">
        <v>506</v>
      </c>
      <c r="AA29">
        <v>593</v>
      </c>
      <c r="AB29">
        <v>653</v>
      </c>
      <c r="AC29">
        <v>716</v>
      </c>
      <c r="AD29">
        <v>728</v>
      </c>
      <c r="AE29">
        <v>807</v>
      </c>
      <c r="AF29">
        <v>867</v>
      </c>
      <c r="AG29">
        <v>938</v>
      </c>
      <c r="AH29" s="14">
        <v>1028</v>
      </c>
      <c r="AI29">
        <v>133</v>
      </c>
      <c r="AJ29">
        <v>258</v>
      </c>
      <c r="AK29">
        <v>411</v>
      </c>
      <c r="AL29">
        <v>409</v>
      </c>
      <c r="AM29">
        <v>540</v>
      </c>
      <c r="AN29">
        <v>658</v>
      </c>
      <c r="AO29">
        <v>747</v>
      </c>
      <c r="AP29">
        <v>696</v>
      </c>
      <c r="AQ29">
        <v>841</v>
      </c>
      <c r="AR29">
        <v>855</v>
      </c>
      <c r="AS29">
        <v>994</v>
      </c>
      <c r="AT29">
        <v>931</v>
      </c>
    </row>
    <row r="30" spans="1:46" x14ac:dyDescent="0.15">
      <c r="A30" t="s">
        <v>55</v>
      </c>
      <c r="B30">
        <v>27210.600000000002</v>
      </c>
      <c r="C30">
        <v>2903.4</v>
      </c>
      <c r="D30" s="14">
        <v>10490.4</v>
      </c>
      <c r="E30">
        <v>25448.400000000001</v>
      </c>
      <c r="F30">
        <v>2160</v>
      </c>
      <c r="G30" s="14">
        <v>11181.6</v>
      </c>
      <c r="H30">
        <v>24219</v>
      </c>
      <c r="I30">
        <v>2520</v>
      </c>
      <c r="J30" s="14">
        <v>10458</v>
      </c>
      <c r="K30">
        <v>270</v>
      </c>
      <c r="L30">
        <v>567</v>
      </c>
      <c r="M30">
        <v>966.6</v>
      </c>
      <c r="N30">
        <v>1431</v>
      </c>
      <c r="O30">
        <v>2507.4</v>
      </c>
      <c r="P30">
        <v>2903.4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29">
        <v>84.600000000000009</v>
      </c>
      <c r="X30">
        <v>259.2</v>
      </c>
      <c r="Y30">
        <v>482.40000000000003</v>
      </c>
      <c r="Z30">
        <v>644.4</v>
      </c>
      <c r="AA30">
        <v>774</v>
      </c>
      <c r="AB30">
        <v>928.80000000000007</v>
      </c>
      <c r="AC30">
        <v>1094.4000000000001</v>
      </c>
      <c r="AD30">
        <v>1278</v>
      </c>
      <c r="AE30">
        <v>1432.8</v>
      </c>
      <c r="AF30">
        <v>1558.8</v>
      </c>
      <c r="AG30">
        <v>1782</v>
      </c>
      <c r="AH30" s="14">
        <v>1962</v>
      </c>
      <c r="AI30">
        <v>230.4</v>
      </c>
      <c r="AJ30">
        <v>428.40000000000003</v>
      </c>
      <c r="AK30">
        <v>657</v>
      </c>
      <c r="AL30">
        <v>880.2</v>
      </c>
      <c r="AM30">
        <v>1105.2</v>
      </c>
      <c r="AN30">
        <v>1317.6000000000001</v>
      </c>
      <c r="AO30">
        <v>1555.2</v>
      </c>
      <c r="AP30">
        <v>1787.4</v>
      </c>
      <c r="AQ30">
        <v>2032.2</v>
      </c>
      <c r="AR30">
        <v>2286</v>
      </c>
      <c r="AS30">
        <v>2527.2000000000003</v>
      </c>
      <c r="AT30">
        <v>2628</v>
      </c>
    </row>
    <row r="31" spans="1:46" x14ac:dyDescent="0.15">
      <c r="A31" t="s">
        <v>56</v>
      </c>
      <c r="B31">
        <v>18700.5</v>
      </c>
      <c r="C31">
        <v>984.90000000000009</v>
      </c>
      <c r="D31" s="14">
        <v>12654.6</v>
      </c>
      <c r="E31">
        <v>18471.600000000002</v>
      </c>
      <c r="F31">
        <v>663.6</v>
      </c>
      <c r="G31" s="14">
        <v>13127.1</v>
      </c>
      <c r="H31">
        <v>19101.600000000002</v>
      </c>
      <c r="I31">
        <v>1302</v>
      </c>
      <c r="J31" s="14">
        <v>12188.4</v>
      </c>
      <c r="K31">
        <v>50.400000000000006</v>
      </c>
      <c r="L31">
        <v>170.1</v>
      </c>
      <c r="M31">
        <v>315</v>
      </c>
      <c r="N31">
        <v>659.4</v>
      </c>
      <c r="O31">
        <v>846.30000000000007</v>
      </c>
      <c r="P31">
        <v>984.90000000000009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29">
        <v>88.2</v>
      </c>
      <c r="X31">
        <v>132.30000000000001</v>
      </c>
      <c r="Y31">
        <v>268.8</v>
      </c>
      <c r="Z31">
        <v>298.2</v>
      </c>
      <c r="AA31">
        <v>449.40000000000003</v>
      </c>
      <c r="AB31">
        <v>663.6</v>
      </c>
      <c r="AC31">
        <v>879.90000000000009</v>
      </c>
      <c r="AD31">
        <v>1031.1000000000001</v>
      </c>
      <c r="AE31">
        <v>1209.6000000000001</v>
      </c>
      <c r="AF31">
        <v>1352.4</v>
      </c>
      <c r="AG31">
        <v>1516.2</v>
      </c>
      <c r="AH31" s="14">
        <v>1157.1000000000001</v>
      </c>
      <c r="AI31">
        <v>210</v>
      </c>
      <c r="AJ31">
        <v>428.40000000000003</v>
      </c>
      <c r="AK31">
        <v>615.30000000000007</v>
      </c>
      <c r="AL31">
        <v>886.2</v>
      </c>
      <c r="AM31">
        <v>1077.3</v>
      </c>
      <c r="AN31">
        <v>1302</v>
      </c>
      <c r="AO31">
        <v>1516.2</v>
      </c>
      <c r="AP31">
        <v>1570.8</v>
      </c>
      <c r="AQ31">
        <v>1776.6000000000001</v>
      </c>
      <c r="AR31">
        <v>1978.2</v>
      </c>
      <c r="AS31">
        <v>2205</v>
      </c>
      <c r="AT31">
        <v>2438.1</v>
      </c>
    </row>
    <row r="32" spans="1:46" x14ac:dyDescent="0.15">
      <c r="A32" t="s">
        <v>57</v>
      </c>
      <c r="B32">
        <v>45315.9</v>
      </c>
      <c r="C32">
        <v>1932</v>
      </c>
      <c r="D32" s="14">
        <v>15668.1</v>
      </c>
      <c r="E32">
        <v>43440.6</v>
      </c>
      <c r="F32">
        <v>1371.3</v>
      </c>
      <c r="G32" s="14">
        <v>18036.900000000001</v>
      </c>
      <c r="H32">
        <v>43003.8</v>
      </c>
      <c r="I32">
        <v>1381.8</v>
      </c>
      <c r="J32" s="14">
        <v>15964.2</v>
      </c>
      <c r="K32">
        <v>357</v>
      </c>
      <c r="L32">
        <v>663.6</v>
      </c>
      <c r="M32">
        <v>1003.8000000000001</v>
      </c>
      <c r="N32">
        <v>1314.6000000000001</v>
      </c>
      <c r="O32">
        <v>1654.8000000000002</v>
      </c>
      <c r="P32">
        <v>1932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29">
        <v>340.2</v>
      </c>
      <c r="X32">
        <v>613.20000000000005</v>
      </c>
      <c r="Y32">
        <v>837.90000000000009</v>
      </c>
      <c r="Z32">
        <v>1062.6000000000001</v>
      </c>
      <c r="AA32">
        <v>1245.3</v>
      </c>
      <c r="AB32">
        <v>1371.3</v>
      </c>
      <c r="AC32">
        <v>1503.6000000000001</v>
      </c>
      <c r="AD32">
        <v>1528.8</v>
      </c>
      <c r="AE32">
        <v>1694.7</v>
      </c>
      <c r="AF32">
        <v>1820.7</v>
      </c>
      <c r="AG32">
        <v>1969.8000000000002</v>
      </c>
      <c r="AH32" s="14">
        <v>2158.8000000000002</v>
      </c>
      <c r="AI32">
        <v>279.3</v>
      </c>
      <c r="AJ32">
        <v>541.80000000000007</v>
      </c>
      <c r="AK32">
        <v>863.1</v>
      </c>
      <c r="AL32">
        <v>858.90000000000009</v>
      </c>
      <c r="AM32">
        <v>1134</v>
      </c>
      <c r="AN32">
        <v>1381.8</v>
      </c>
      <c r="AO32">
        <v>1568.7</v>
      </c>
      <c r="AP32">
        <v>1461.6000000000001</v>
      </c>
      <c r="AQ32">
        <v>1766.1000000000001</v>
      </c>
      <c r="AR32">
        <v>1795.5</v>
      </c>
      <c r="AS32">
        <v>2087.4</v>
      </c>
      <c r="AT32">
        <v>1955.1000000000001</v>
      </c>
    </row>
    <row r="33" spans="1:46" x14ac:dyDescent="0.15">
      <c r="A33" t="s">
        <v>58</v>
      </c>
      <c r="B33">
        <v>35980</v>
      </c>
      <c r="C33">
        <v>2332</v>
      </c>
      <c r="D33" s="14">
        <v>14274</v>
      </c>
      <c r="E33">
        <v>32790</v>
      </c>
      <c r="F33">
        <v>2006</v>
      </c>
      <c r="G33" s="14">
        <v>14846</v>
      </c>
      <c r="H33">
        <v>36362</v>
      </c>
      <c r="I33">
        <v>2446</v>
      </c>
      <c r="J33" s="14">
        <v>16392</v>
      </c>
      <c r="K33">
        <v>340</v>
      </c>
      <c r="L33">
        <v>654</v>
      </c>
      <c r="M33">
        <v>1024</v>
      </c>
      <c r="N33">
        <v>1464</v>
      </c>
      <c r="O33">
        <v>1882</v>
      </c>
      <c r="P33">
        <v>2332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29">
        <v>298</v>
      </c>
      <c r="X33">
        <v>548</v>
      </c>
      <c r="Y33">
        <v>980</v>
      </c>
      <c r="Z33">
        <v>1282</v>
      </c>
      <c r="AA33">
        <v>1646</v>
      </c>
      <c r="AB33">
        <v>2006</v>
      </c>
      <c r="AC33">
        <v>2328</v>
      </c>
      <c r="AD33">
        <v>2544</v>
      </c>
      <c r="AE33">
        <v>2790</v>
      </c>
      <c r="AF33">
        <v>3076</v>
      </c>
      <c r="AG33">
        <v>3424</v>
      </c>
      <c r="AH33" s="14">
        <v>3876</v>
      </c>
      <c r="AI33">
        <v>302</v>
      </c>
      <c r="AJ33">
        <v>604</v>
      </c>
      <c r="AK33">
        <v>1094</v>
      </c>
      <c r="AL33">
        <v>1544</v>
      </c>
      <c r="AM33">
        <v>2004</v>
      </c>
      <c r="AN33">
        <v>2446</v>
      </c>
      <c r="AO33">
        <v>2804</v>
      </c>
      <c r="AP33">
        <v>3014</v>
      </c>
      <c r="AQ33">
        <v>3448</v>
      </c>
      <c r="AR33">
        <v>3954</v>
      </c>
      <c r="AS33">
        <v>4382</v>
      </c>
      <c r="AT33">
        <v>4478</v>
      </c>
    </row>
    <row r="34" spans="1:46" x14ac:dyDescent="0.15">
      <c r="A34" t="s">
        <v>59</v>
      </c>
      <c r="B34">
        <v>7657</v>
      </c>
      <c r="C34">
        <v>276</v>
      </c>
      <c r="D34" s="14">
        <v>5353</v>
      </c>
      <c r="E34">
        <v>5307</v>
      </c>
      <c r="F34">
        <v>170</v>
      </c>
      <c r="G34" s="14">
        <v>4710</v>
      </c>
      <c r="H34">
        <v>6431</v>
      </c>
      <c r="I34">
        <v>179</v>
      </c>
      <c r="J34" s="14">
        <v>5191</v>
      </c>
      <c r="K34">
        <v>43</v>
      </c>
      <c r="L34">
        <v>93</v>
      </c>
      <c r="M34">
        <v>115</v>
      </c>
      <c r="N34">
        <v>164</v>
      </c>
      <c r="O34">
        <v>236</v>
      </c>
      <c r="P34">
        <v>276</v>
      </c>
      <c r="W34" s="29">
        <v>23</v>
      </c>
      <c r="X34">
        <v>26</v>
      </c>
      <c r="Y34">
        <v>40</v>
      </c>
      <c r="Z34">
        <v>79</v>
      </c>
      <c r="AA34">
        <v>90</v>
      </c>
      <c r="AB34">
        <v>92</v>
      </c>
      <c r="AC34">
        <v>113</v>
      </c>
      <c r="AD34">
        <v>116</v>
      </c>
      <c r="AE34">
        <v>116</v>
      </c>
      <c r="AF34">
        <v>126</v>
      </c>
      <c r="AG34">
        <v>144</v>
      </c>
      <c r="AH34" s="14">
        <v>151</v>
      </c>
      <c r="AI34">
        <v>9</v>
      </c>
      <c r="AJ34">
        <v>14</v>
      </c>
      <c r="AK34">
        <v>50</v>
      </c>
      <c r="AL34">
        <v>109</v>
      </c>
      <c r="AM34">
        <v>165</v>
      </c>
      <c r="AN34">
        <v>179</v>
      </c>
      <c r="AO34">
        <v>226</v>
      </c>
      <c r="AP34">
        <v>234</v>
      </c>
      <c r="AQ34">
        <v>249</v>
      </c>
      <c r="AR34">
        <v>275</v>
      </c>
      <c r="AS34">
        <v>283</v>
      </c>
      <c r="AT34">
        <v>296</v>
      </c>
    </row>
    <row r="35" spans="1:46" x14ac:dyDescent="0.15">
      <c r="A35" t="s">
        <v>60</v>
      </c>
      <c r="B35">
        <v>8126</v>
      </c>
      <c r="C35">
        <v>321</v>
      </c>
      <c r="D35" s="14">
        <v>6153</v>
      </c>
      <c r="E35">
        <v>9111</v>
      </c>
      <c r="F35">
        <v>567</v>
      </c>
      <c r="G35" s="14">
        <v>5959</v>
      </c>
      <c r="H35">
        <v>8642</v>
      </c>
      <c r="I35">
        <v>554</v>
      </c>
      <c r="J35" s="14">
        <v>7382</v>
      </c>
      <c r="K35">
        <v>24</v>
      </c>
      <c r="L35">
        <v>78</v>
      </c>
      <c r="M35">
        <v>145</v>
      </c>
      <c r="N35">
        <v>197</v>
      </c>
      <c r="O35">
        <v>265</v>
      </c>
      <c r="P35">
        <v>321</v>
      </c>
      <c r="W35" s="29">
        <v>121</v>
      </c>
      <c r="X35">
        <v>230</v>
      </c>
      <c r="Y35">
        <v>355</v>
      </c>
      <c r="Z35">
        <v>451</v>
      </c>
      <c r="AA35">
        <v>504</v>
      </c>
      <c r="AB35">
        <v>567</v>
      </c>
      <c r="AC35">
        <v>600</v>
      </c>
      <c r="AD35">
        <v>516</v>
      </c>
      <c r="AE35">
        <v>538</v>
      </c>
      <c r="AF35">
        <v>541</v>
      </c>
      <c r="AG35">
        <v>592</v>
      </c>
      <c r="AH35" s="14">
        <v>593</v>
      </c>
      <c r="AI35">
        <v>96</v>
      </c>
      <c r="AJ35">
        <v>186</v>
      </c>
      <c r="AK35">
        <v>281</v>
      </c>
      <c r="AL35">
        <v>371</v>
      </c>
      <c r="AM35">
        <v>465</v>
      </c>
      <c r="AN35">
        <v>554</v>
      </c>
      <c r="AO35">
        <v>665</v>
      </c>
      <c r="AP35">
        <v>671</v>
      </c>
      <c r="AQ35">
        <v>763</v>
      </c>
      <c r="AR35">
        <v>874</v>
      </c>
      <c r="AS35">
        <v>961</v>
      </c>
      <c r="AT35">
        <v>983</v>
      </c>
    </row>
    <row r="36" spans="1:46" x14ac:dyDescent="0.15">
      <c r="A36" t="s">
        <v>61</v>
      </c>
      <c r="B36">
        <v>5272</v>
      </c>
      <c r="C36">
        <v>316</v>
      </c>
      <c r="D36" s="14">
        <v>1207</v>
      </c>
      <c r="E36">
        <v>4934</v>
      </c>
      <c r="F36">
        <v>233</v>
      </c>
      <c r="G36" s="14">
        <v>1485</v>
      </c>
      <c r="H36">
        <v>4789</v>
      </c>
      <c r="I36">
        <v>215</v>
      </c>
      <c r="J36" s="14">
        <v>1936</v>
      </c>
      <c r="K36">
        <v>28</v>
      </c>
      <c r="L36">
        <v>69</v>
      </c>
      <c r="M36">
        <v>131</v>
      </c>
      <c r="N36">
        <v>186</v>
      </c>
      <c r="O36">
        <v>246</v>
      </c>
      <c r="P36">
        <v>316</v>
      </c>
      <c r="W36" s="29">
        <v>14</v>
      </c>
      <c r="X36">
        <v>32</v>
      </c>
      <c r="Y36">
        <v>72</v>
      </c>
      <c r="Z36">
        <v>140</v>
      </c>
      <c r="AA36">
        <v>167</v>
      </c>
      <c r="AB36">
        <v>233</v>
      </c>
      <c r="AC36">
        <v>249</v>
      </c>
      <c r="AD36">
        <v>234</v>
      </c>
      <c r="AE36">
        <v>294</v>
      </c>
      <c r="AF36">
        <v>333</v>
      </c>
      <c r="AG36">
        <v>319</v>
      </c>
      <c r="AH36" s="14">
        <v>403</v>
      </c>
      <c r="AI36">
        <v>21</v>
      </c>
      <c r="AJ36">
        <v>47</v>
      </c>
      <c r="AK36">
        <v>87</v>
      </c>
      <c r="AL36">
        <v>123</v>
      </c>
      <c r="AM36">
        <v>168</v>
      </c>
      <c r="AN36">
        <v>215</v>
      </c>
      <c r="AO36">
        <v>260</v>
      </c>
      <c r="AP36">
        <v>260</v>
      </c>
      <c r="AQ36">
        <v>300</v>
      </c>
      <c r="AR36">
        <v>340</v>
      </c>
      <c r="AS36">
        <v>376</v>
      </c>
      <c r="AT36">
        <v>375</v>
      </c>
    </row>
    <row r="37" spans="1:46" x14ac:dyDescent="0.15">
      <c r="A37" t="s">
        <v>62</v>
      </c>
      <c r="B37">
        <v>6375</v>
      </c>
      <c r="C37">
        <v>192</v>
      </c>
      <c r="D37" s="14">
        <v>4741</v>
      </c>
      <c r="E37">
        <v>6945</v>
      </c>
      <c r="F37">
        <v>309</v>
      </c>
      <c r="G37" s="14">
        <v>5006</v>
      </c>
      <c r="H37">
        <v>5774</v>
      </c>
      <c r="I37">
        <v>350</v>
      </c>
      <c r="J37" s="14">
        <v>4447</v>
      </c>
      <c r="K37">
        <v>17</v>
      </c>
      <c r="L37">
        <v>50</v>
      </c>
      <c r="M37">
        <v>67</v>
      </c>
      <c r="N37">
        <v>80</v>
      </c>
      <c r="O37">
        <v>122</v>
      </c>
      <c r="P37">
        <v>192</v>
      </c>
      <c r="W37" s="29">
        <v>16</v>
      </c>
      <c r="X37">
        <v>27</v>
      </c>
      <c r="Y37">
        <v>27</v>
      </c>
      <c r="Z37">
        <v>105</v>
      </c>
      <c r="AA37">
        <v>218</v>
      </c>
      <c r="AB37">
        <v>309</v>
      </c>
      <c r="AC37">
        <v>488</v>
      </c>
      <c r="AD37">
        <v>464</v>
      </c>
      <c r="AE37">
        <v>429</v>
      </c>
      <c r="AF37">
        <v>430</v>
      </c>
      <c r="AG37">
        <v>432</v>
      </c>
      <c r="AH37" s="14">
        <v>435</v>
      </c>
      <c r="AI37">
        <v>22</v>
      </c>
      <c r="AJ37">
        <v>52</v>
      </c>
      <c r="AK37">
        <v>90</v>
      </c>
      <c r="AL37">
        <v>150</v>
      </c>
      <c r="AM37">
        <v>258</v>
      </c>
      <c r="AN37">
        <v>350</v>
      </c>
      <c r="AO37">
        <v>458</v>
      </c>
      <c r="AP37">
        <v>453</v>
      </c>
      <c r="AQ37">
        <v>522</v>
      </c>
      <c r="AR37">
        <v>566</v>
      </c>
      <c r="AS37">
        <v>596</v>
      </c>
      <c r="AT37">
        <v>591</v>
      </c>
    </row>
    <row r="38" spans="1:46" x14ac:dyDescent="0.15">
      <c r="A38" t="s">
        <v>63</v>
      </c>
      <c r="B38">
        <v>189978.5</v>
      </c>
      <c r="C38">
        <v>8869.2000000000007</v>
      </c>
      <c r="D38" s="14">
        <v>91467.1</v>
      </c>
      <c r="E38">
        <v>187118.2</v>
      </c>
      <c r="F38">
        <v>7865.9000000000005</v>
      </c>
      <c r="G38" s="14">
        <v>97100.299999999988</v>
      </c>
      <c r="H38">
        <v>181464.8</v>
      </c>
      <c r="I38">
        <v>8122.2</v>
      </c>
      <c r="J38" s="14">
        <v>94780.800000000003</v>
      </c>
      <c r="K38">
        <v>1232.5999999999999</v>
      </c>
      <c r="L38">
        <v>2521.8000000000002</v>
      </c>
      <c r="M38">
        <v>3867.8</v>
      </c>
      <c r="N38">
        <v>5348.4</v>
      </c>
      <c r="O38">
        <v>7289.8</v>
      </c>
      <c r="P38">
        <v>8869.2000000000007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29">
        <v>1081.8</v>
      </c>
      <c r="X38">
        <v>1914.2</v>
      </c>
      <c r="Y38">
        <v>3013.9</v>
      </c>
      <c r="Z38">
        <v>4416.3999999999996</v>
      </c>
      <c r="AA38">
        <v>5770.1</v>
      </c>
      <c r="AB38">
        <v>7247.9000000000005</v>
      </c>
      <c r="AC38">
        <v>8752.2000000000007</v>
      </c>
      <c r="AD38">
        <v>9323.7999999999993</v>
      </c>
      <c r="AE38">
        <v>10122.5</v>
      </c>
      <c r="AF38">
        <v>10897.7</v>
      </c>
      <c r="AG38">
        <v>11759</v>
      </c>
      <c r="AH38" s="14">
        <v>11946</v>
      </c>
      <c r="AI38">
        <v>1097.7</v>
      </c>
      <c r="AJ38">
        <v>2174.8000000000002</v>
      </c>
      <c r="AK38">
        <v>3533.9</v>
      </c>
      <c r="AL38">
        <v>4717.1000000000004</v>
      </c>
      <c r="AM38">
        <v>6398.7999999999993</v>
      </c>
      <c r="AN38">
        <v>7933.2</v>
      </c>
      <c r="AO38">
        <v>9431.5</v>
      </c>
      <c r="AP38">
        <v>9732.7999999999993</v>
      </c>
      <c r="AQ38">
        <v>11196.7</v>
      </c>
      <c r="AR38">
        <v>12313.3</v>
      </c>
      <c r="AS38">
        <v>13505.4</v>
      </c>
      <c r="AT38">
        <v>13380.699999999999</v>
      </c>
    </row>
    <row r="39" spans="1:46" x14ac:dyDescent="0.15">
      <c r="A39" s="30" t="s">
        <v>64</v>
      </c>
      <c r="B39">
        <v>6353</v>
      </c>
      <c r="C39">
        <v>762</v>
      </c>
      <c r="D39" s="14">
        <v>7332</v>
      </c>
      <c r="E39">
        <v>5993</v>
      </c>
      <c r="F39">
        <v>674</v>
      </c>
      <c r="G39" s="14">
        <v>7167</v>
      </c>
      <c r="H39">
        <v>5275</v>
      </c>
      <c r="I39">
        <v>568</v>
      </c>
      <c r="J39" s="14">
        <v>7227</v>
      </c>
      <c r="K39">
        <v>56</v>
      </c>
      <c r="L39">
        <v>137</v>
      </c>
      <c r="M39">
        <v>240</v>
      </c>
      <c r="N39">
        <v>396</v>
      </c>
      <c r="O39">
        <v>584</v>
      </c>
      <c r="P39">
        <v>762</v>
      </c>
      <c r="W39" s="29">
        <v>48</v>
      </c>
      <c r="X39">
        <v>123</v>
      </c>
      <c r="Y39">
        <v>218</v>
      </c>
      <c r="Z39">
        <v>294</v>
      </c>
      <c r="AA39">
        <v>499</v>
      </c>
      <c r="AB39">
        <v>674</v>
      </c>
      <c r="AC39">
        <v>934</v>
      </c>
      <c r="AD39">
        <v>996</v>
      </c>
      <c r="AE39">
        <v>1182</v>
      </c>
      <c r="AF39">
        <v>1362</v>
      </c>
      <c r="AG39">
        <v>1507</v>
      </c>
      <c r="AH39" s="14">
        <v>1486</v>
      </c>
      <c r="AI39">
        <v>51</v>
      </c>
      <c r="AJ39">
        <v>112</v>
      </c>
      <c r="AK39">
        <v>183</v>
      </c>
      <c r="AL39">
        <v>274</v>
      </c>
      <c r="AM39">
        <v>432</v>
      </c>
      <c r="AN39">
        <v>568</v>
      </c>
      <c r="AO39">
        <v>726</v>
      </c>
      <c r="AP39">
        <v>750</v>
      </c>
      <c r="AQ39">
        <v>867</v>
      </c>
      <c r="AR39">
        <v>953</v>
      </c>
      <c r="AS39">
        <v>1029</v>
      </c>
      <c r="AT39">
        <v>1079</v>
      </c>
    </row>
    <row r="40" spans="1:46" x14ac:dyDescent="0.15">
      <c r="A40" s="30" t="s">
        <v>65</v>
      </c>
      <c r="B40">
        <v>12373</v>
      </c>
      <c r="C40">
        <v>408</v>
      </c>
      <c r="D40" s="14">
        <v>3054</v>
      </c>
      <c r="E40">
        <v>12398</v>
      </c>
      <c r="F40">
        <v>341</v>
      </c>
      <c r="G40" s="14">
        <v>3033</v>
      </c>
      <c r="H40">
        <v>10472</v>
      </c>
      <c r="I40">
        <v>461</v>
      </c>
      <c r="J40" s="14">
        <v>2910</v>
      </c>
      <c r="K40">
        <v>82</v>
      </c>
      <c r="L40">
        <v>134</v>
      </c>
      <c r="M40">
        <v>187</v>
      </c>
      <c r="N40">
        <v>244</v>
      </c>
      <c r="O40">
        <v>338</v>
      </c>
      <c r="P40">
        <v>408</v>
      </c>
      <c r="W40" s="29">
        <v>2</v>
      </c>
      <c r="X40">
        <v>38</v>
      </c>
      <c r="Y40">
        <v>89</v>
      </c>
      <c r="Z40">
        <v>179</v>
      </c>
      <c r="AA40">
        <v>234</v>
      </c>
      <c r="AB40">
        <v>341</v>
      </c>
      <c r="AC40">
        <v>459</v>
      </c>
      <c r="AD40">
        <v>536</v>
      </c>
      <c r="AE40">
        <v>629</v>
      </c>
      <c r="AF40">
        <v>656</v>
      </c>
      <c r="AG40">
        <v>641</v>
      </c>
      <c r="AH40" s="14">
        <v>550</v>
      </c>
      <c r="AI40">
        <v>71</v>
      </c>
      <c r="AJ40">
        <v>142</v>
      </c>
      <c r="AK40">
        <v>247</v>
      </c>
      <c r="AL40">
        <v>307</v>
      </c>
      <c r="AM40">
        <v>395</v>
      </c>
      <c r="AN40">
        <v>461</v>
      </c>
      <c r="AO40">
        <v>564</v>
      </c>
      <c r="AP40">
        <v>645</v>
      </c>
      <c r="AQ40">
        <v>688</v>
      </c>
      <c r="AR40">
        <v>706</v>
      </c>
      <c r="AS40">
        <v>664</v>
      </c>
      <c r="AT40">
        <v>593</v>
      </c>
    </row>
    <row r="41" spans="1:46" x14ac:dyDescent="0.15">
      <c r="A41" s="30" t="s">
        <v>66</v>
      </c>
      <c r="B41">
        <v>17760</v>
      </c>
      <c r="C41">
        <v>800</v>
      </c>
      <c r="D41" s="14">
        <v>6488</v>
      </c>
      <c r="E41">
        <v>17025</v>
      </c>
      <c r="F41">
        <v>568</v>
      </c>
      <c r="G41" s="14">
        <v>7469</v>
      </c>
      <c r="H41">
        <v>16854</v>
      </c>
      <c r="I41">
        <v>572</v>
      </c>
      <c r="J41" s="14">
        <v>6611</v>
      </c>
      <c r="K41">
        <v>140</v>
      </c>
      <c r="L41">
        <v>274</v>
      </c>
      <c r="M41">
        <v>416</v>
      </c>
      <c r="N41">
        <v>544</v>
      </c>
      <c r="O41">
        <v>685</v>
      </c>
      <c r="P41">
        <v>800</v>
      </c>
      <c r="W41" s="29">
        <v>141</v>
      </c>
      <c r="X41">
        <v>254</v>
      </c>
      <c r="Y41">
        <v>347</v>
      </c>
      <c r="Z41">
        <v>440</v>
      </c>
      <c r="AA41">
        <v>515</v>
      </c>
      <c r="AB41">
        <v>568</v>
      </c>
      <c r="AC41">
        <v>623</v>
      </c>
      <c r="AD41">
        <v>633</v>
      </c>
      <c r="AE41">
        <v>702</v>
      </c>
      <c r="AF41">
        <v>754</v>
      </c>
      <c r="AG41">
        <v>816</v>
      </c>
      <c r="AH41" s="14">
        <v>894</v>
      </c>
      <c r="AI41">
        <v>116</v>
      </c>
      <c r="AJ41">
        <v>225</v>
      </c>
      <c r="AK41">
        <v>357</v>
      </c>
      <c r="AL41">
        <v>356</v>
      </c>
      <c r="AM41">
        <v>470</v>
      </c>
      <c r="AN41">
        <v>572</v>
      </c>
      <c r="AO41">
        <v>650</v>
      </c>
      <c r="AP41">
        <v>606</v>
      </c>
      <c r="AQ41">
        <v>732</v>
      </c>
      <c r="AR41">
        <v>744</v>
      </c>
      <c r="AS41">
        <v>865</v>
      </c>
      <c r="AT41">
        <v>810</v>
      </c>
    </row>
    <row r="42" spans="1:46" x14ac:dyDescent="0.15">
      <c r="A42" s="30" t="s">
        <v>67</v>
      </c>
      <c r="B42">
        <v>30399.599999999999</v>
      </c>
      <c r="C42">
        <v>786.8</v>
      </c>
      <c r="D42" s="14">
        <v>12308.8</v>
      </c>
      <c r="E42">
        <v>29531.599999999999</v>
      </c>
      <c r="F42">
        <v>786.8</v>
      </c>
      <c r="G42" s="14">
        <v>13941.199999999999</v>
      </c>
      <c r="H42">
        <v>30237.199999999997</v>
      </c>
      <c r="I42">
        <v>932.4</v>
      </c>
      <c r="J42" s="14">
        <v>13381.199999999999</v>
      </c>
      <c r="K42">
        <v>165.2</v>
      </c>
      <c r="L42">
        <v>305.2</v>
      </c>
      <c r="M42">
        <v>383.59999999999997</v>
      </c>
      <c r="N42">
        <v>534.79999999999995</v>
      </c>
      <c r="O42">
        <v>649.59999999999991</v>
      </c>
      <c r="P42">
        <v>786.8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29">
        <v>190.39999999999998</v>
      </c>
      <c r="X42">
        <v>243.6</v>
      </c>
      <c r="Y42">
        <v>383.59999999999997</v>
      </c>
      <c r="Z42">
        <v>492.79999999999995</v>
      </c>
      <c r="AA42">
        <v>613.19999999999993</v>
      </c>
      <c r="AB42">
        <v>786.8</v>
      </c>
      <c r="AC42">
        <v>826</v>
      </c>
      <c r="AD42">
        <v>949.19999999999993</v>
      </c>
      <c r="AE42">
        <v>1000</v>
      </c>
      <c r="AF42">
        <v>1100</v>
      </c>
      <c r="AG42">
        <v>1300</v>
      </c>
      <c r="AH42" s="14">
        <v>1400</v>
      </c>
      <c r="AI42">
        <v>196</v>
      </c>
      <c r="AJ42">
        <v>327.59999999999997</v>
      </c>
      <c r="AK42">
        <v>422.79999999999995</v>
      </c>
      <c r="AL42">
        <v>599.19999999999993</v>
      </c>
      <c r="AM42">
        <v>739.19999999999993</v>
      </c>
      <c r="AN42">
        <v>932.4</v>
      </c>
      <c r="AO42">
        <v>1047.2</v>
      </c>
      <c r="AP42">
        <v>1083.5999999999999</v>
      </c>
      <c r="AQ42">
        <v>1285.1999999999998</v>
      </c>
      <c r="AR42">
        <v>1489.6</v>
      </c>
      <c r="AS42">
        <v>1696.8</v>
      </c>
      <c r="AT42">
        <v>1744.3999999999999</v>
      </c>
    </row>
    <row r="43" spans="1:46" x14ac:dyDescent="0.15">
      <c r="A43" s="30" t="s">
        <v>68</v>
      </c>
      <c r="B43">
        <v>20400</v>
      </c>
      <c r="C43">
        <v>614.40000000000009</v>
      </c>
      <c r="D43" s="14">
        <v>15171.2</v>
      </c>
      <c r="E43">
        <v>22224</v>
      </c>
      <c r="F43">
        <v>988.80000000000007</v>
      </c>
      <c r="G43" s="14">
        <v>16019.2</v>
      </c>
      <c r="H43">
        <v>18476.8</v>
      </c>
      <c r="I43">
        <v>1120</v>
      </c>
      <c r="J43" s="14">
        <v>14230.400000000001</v>
      </c>
      <c r="K43">
        <v>54.400000000000006</v>
      </c>
      <c r="L43">
        <v>160</v>
      </c>
      <c r="M43">
        <v>214.4</v>
      </c>
      <c r="N43">
        <v>256</v>
      </c>
      <c r="O43">
        <v>390.40000000000003</v>
      </c>
      <c r="P43">
        <v>614.40000000000009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29">
        <v>51.2</v>
      </c>
      <c r="X43">
        <v>86.4</v>
      </c>
      <c r="Y43">
        <v>86.4</v>
      </c>
      <c r="Z43">
        <v>336</v>
      </c>
      <c r="AA43">
        <v>697.6</v>
      </c>
      <c r="AB43">
        <v>988.80000000000007</v>
      </c>
      <c r="AC43">
        <v>1561.6000000000001</v>
      </c>
      <c r="AD43">
        <v>1484.8000000000002</v>
      </c>
      <c r="AE43">
        <v>1372.8000000000002</v>
      </c>
      <c r="AF43">
        <v>1370</v>
      </c>
      <c r="AG43">
        <v>1375</v>
      </c>
      <c r="AH43" s="14">
        <v>1410</v>
      </c>
      <c r="AI43">
        <v>70.400000000000006</v>
      </c>
      <c r="AJ43">
        <v>166.4</v>
      </c>
      <c r="AK43">
        <v>288</v>
      </c>
      <c r="AL43">
        <v>480</v>
      </c>
      <c r="AM43">
        <v>825.6</v>
      </c>
      <c r="AN43">
        <v>1120</v>
      </c>
      <c r="AO43">
        <v>1465.6000000000001</v>
      </c>
      <c r="AP43">
        <v>1449.6000000000001</v>
      </c>
      <c r="AQ43">
        <v>1670.4</v>
      </c>
      <c r="AR43">
        <v>1811.2</v>
      </c>
      <c r="AS43">
        <v>1907.2</v>
      </c>
      <c r="AT43">
        <v>1891.2</v>
      </c>
    </row>
    <row r="44" spans="1:46" x14ac:dyDescent="0.15">
      <c r="A44" s="30" t="s">
        <v>69</v>
      </c>
      <c r="B44">
        <v>21088</v>
      </c>
      <c r="C44">
        <v>1264</v>
      </c>
      <c r="D44" s="14">
        <v>4828</v>
      </c>
      <c r="E44">
        <v>19736</v>
      </c>
      <c r="F44">
        <v>932</v>
      </c>
      <c r="G44" s="14">
        <v>5940</v>
      </c>
      <c r="H44">
        <v>19156</v>
      </c>
      <c r="I44">
        <v>860</v>
      </c>
      <c r="J44" s="14">
        <v>7744</v>
      </c>
      <c r="K44">
        <v>112</v>
      </c>
      <c r="L44">
        <v>276</v>
      </c>
      <c r="M44">
        <v>524</v>
      </c>
      <c r="N44">
        <v>744</v>
      </c>
      <c r="O44">
        <v>984</v>
      </c>
      <c r="P44">
        <v>1264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29">
        <v>56</v>
      </c>
      <c r="X44">
        <v>128</v>
      </c>
      <c r="Y44">
        <v>288</v>
      </c>
      <c r="Z44">
        <v>560</v>
      </c>
      <c r="AA44">
        <v>668</v>
      </c>
      <c r="AB44">
        <v>932</v>
      </c>
      <c r="AC44">
        <v>996</v>
      </c>
      <c r="AD44">
        <v>936</v>
      </c>
      <c r="AE44">
        <v>1176</v>
      </c>
      <c r="AF44">
        <v>1332</v>
      </c>
      <c r="AG44">
        <v>1276</v>
      </c>
      <c r="AH44" s="14">
        <v>1400</v>
      </c>
      <c r="AI44">
        <v>84</v>
      </c>
      <c r="AJ44">
        <v>188</v>
      </c>
      <c r="AK44">
        <v>348</v>
      </c>
      <c r="AL44">
        <v>492</v>
      </c>
      <c r="AM44">
        <v>672</v>
      </c>
      <c r="AN44">
        <v>860</v>
      </c>
      <c r="AO44">
        <v>1040</v>
      </c>
      <c r="AP44">
        <v>1040</v>
      </c>
      <c r="AQ44">
        <v>1200</v>
      </c>
      <c r="AR44">
        <v>1360</v>
      </c>
      <c r="AS44">
        <v>1504</v>
      </c>
      <c r="AT44">
        <v>1500</v>
      </c>
    </row>
    <row r="45" spans="1:46" x14ac:dyDescent="0.15">
      <c r="A45" t="s">
        <v>70</v>
      </c>
      <c r="B45">
        <v>23736.9</v>
      </c>
      <c r="C45">
        <v>1012.0000000000001</v>
      </c>
      <c r="D45" s="14">
        <v>8207.1</v>
      </c>
      <c r="E45">
        <v>22754.600000000002</v>
      </c>
      <c r="F45">
        <v>718.30000000000007</v>
      </c>
      <c r="G45" s="14">
        <v>9447.9000000000015</v>
      </c>
      <c r="H45">
        <v>22525.800000000003</v>
      </c>
      <c r="I45">
        <v>723.80000000000007</v>
      </c>
      <c r="J45" s="14">
        <v>8362.2000000000007</v>
      </c>
      <c r="K45">
        <v>187.00000000000003</v>
      </c>
      <c r="L45">
        <v>347.6</v>
      </c>
      <c r="M45">
        <v>525.80000000000007</v>
      </c>
      <c r="N45">
        <v>688.6</v>
      </c>
      <c r="O45">
        <v>866.80000000000007</v>
      </c>
      <c r="P45">
        <v>1012.0000000000001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29">
        <v>178.20000000000002</v>
      </c>
      <c r="X45">
        <v>321.20000000000005</v>
      </c>
      <c r="Y45">
        <v>438.90000000000003</v>
      </c>
      <c r="Z45">
        <v>556.6</v>
      </c>
      <c r="AA45">
        <v>652.30000000000007</v>
      </c>
      <c r="AB45">
        <v>718.30000000000007</v>
      </c>
      <c r="AC45">
        <v>787.6</v>
      </c>
      <c r="AD45">
        <v>800.80000000000007</v>
      </c>
      <c r="AE45">
        <v>887.7</v>
      </c>
      <c r="AF45">
        <v>953.7</v>
      </c>
      <c r="AG45">
        <v>1100</v>
      </c>
      <c r="AH45" s="14">
        <v>1120</v>
      </c>
      <c r="AI45">
        <v>146.30000000000001</v>
      </c>
      <c r="AJ45">
        <v>283.8</v>
      </c>
      <c r="AK45">
        <v>452.1</v>
      </c>
      <c r="AL45">
        <v>449.90000000000003</v>
      </c>
      <c r="AM45">
        <v>594</v>
      </c>
      <c r="AN45">
        <v>723.80000000000007</v>
      </c>
      <c r="AO45">
        <v>821.7</v>
      </c>
      <c r="AP45">
        <v>765.6</v>
      </c>
      <c r="AQ45">
        <v>925.1</v>
      </c>
      <c r="AR45">
        <v>940.50000000000011</v>
      </c>
      <c r="AS45">
        <v>1093.4000000000001</v>
      </c>
      <c r="AT45">
        <v>1024.1000000000001</v>
      </c>
    </row>
    <row r="46" spans="1:46" x14ac:dyDescent="0.15">
      <c r="A46" s="30" t="s">
        <v>71</v>
      </c>
      <c r="B46">
        <v>6302</v>
      </c>
      <c r="C46">
        <v>240</v>
      </c>
      <c r="D46" s="14">
        <v>4655</v>
      </c>
      <c r="E46">
        <v>5400</v>
      </c>
      <c r="F46">
        <v>190</v>
      </c>
      <c r="G46" s="14">
        <v>4096</v>
      </c>
      <c r="H46">
        <v>5293</v>
      </c>
      <c r="I46">
        <v>156</v>
      </c>
      <c r="J46" s="14">
        <v>4514</v>
      </c>
      <c r="K46">
        <v>36</v>
      </c>
      <c r="L46">
        <v>81</v>
      </c>
      <c r="M46">
        <v>100</v>
      </c>
      <c r="N46">
        <v>143</v>
      </c>
      <c r="O46">
        <v>205</v>
      </c>
      <c r="P46">
        <v>240</v>
      </c>
      <c r="W46" s="29">
        <v>20</v>
      </c>
      <c r="X46">
        <v>22</v>
      </c>
      <c r="Y46">
        <v>35</v>
      </c>
      <c r="Z46">
        <v>68</v>
      </c>
      <c r="AA46">
        <v>78</v>
      </c>
      <c r="AB46">
        <v>80</v>
      </c>
      <c r="AC46">
        <v>98</v>
      </c>
      <c r="AD46">
        <v>101</v>
      </c>
      <c r="AE46">
        <v>101</v>
      </c>
      <c r="AF46">
        <v>110</v>
      </c>
      <c r="AG46">
        <v>126</v>
      </c>
      <c r="AH46" s="14">
        <v>127</v>
      </c>
      <c r="AI46">
        <v>8</v>
      </c>
      <c r="AJ46">
        <v>12</v>
      </c>
      <c r="AK46">
        <v>44</v>
      </c>
      <c r="AL46">
        <v>94</v>
      </c>
      <c r="AM46">
        <v>143</v>
      </c>
      <c r="AN46">
        <v>156</v>
      </c>
      <c r="AO46">
        <v>197</v>
      </c>
      <c r="AP46">
        <v>204</v>
      </c>
      <c r="AQ46">
        <v>216</v>
      </c>
      <c r="AR46">
        <v>239</v>
      </c>
      <c r="AS46">
        <v>246</v>
      </c>
      <c r="AT46">
        <v>257</v>
      </c>
    </row>
    <row r="47" spans="1:46" x14ac:dyDescent="0.15">
      <c r="A47" s="30" t="s">
        <v>72</v>
      </c>
      <c r="B47">
        <v>10675</v>
      </c>
      <c r="C47">
        <v>128</v>
      </c>
      <c r="D47" s="14">
        <v>8210</v>
      </c>
      <c r="E47">
        <v>10133</v>
      </c>
      <c r="F47">
        <v>89</v>
      </c>
      <c r="G47" s="14">
        <v>8179</v>
      </c>
      <c r="H47">
        <v>11178</v>
      </c>
      <c r="I47">
        <v>190</v>
      </c>
      <c r="J47" s="14">
        <v>8010</v>
      </c>
      <c r="K47">
        <v>17</v>
      </c>
      <c r="L47">
        <v>49</v>
      </c>
      <c r="M47">
        <v>126</v>
      </c>
      <c r="N47">
        <v>190</v>
      </c>
      <c r="O47">
        <v>164</v>
      </c>
      <c r="P47">
        <v>128</v>
      </c>
      <c r="W47" s="29">
        <v>55</v>
      </c>
      <c r="X47">
        <v>59</v>
      </c>
      <c r="Y47">
        <v>66</v>
      </c>
      <c r="Z47">
        <v>78</v>
      </c>
      <c r="AA47">
        <v>88</v>
      </c>
      <c r="AB47">
        <v>89</v>
      </c>
      <c r="AC47">
        <v>98</v>
      </c>
      <c r="AD47">
        <v>102</v>
      </c>
      <c r="AE47">
        <v>110</v>
      </c>
      <c r="AF47">
        <v>141</v>
      </c>
      <c r="AG47">
        <v>204</v>
      </c>
      <c r="AH47" s="14">
        <v>204</v>
      </c>
      <c r="AI47">
        <v>36</v>
      </c>
      <c r="AJ47">
        <v>68</v>
      </c>
      <c r="AK47">
        <v>121</v>
      </c>
      <c r="AL47">
        <v>168</v>
      </c>
      <c r="AM47">
        <v>221</v>
      </c>
      <c r="AN47">
        <v>269</v>
      </c>
      <c r="AO47">
        <v>313</v>
      </c>
      <c r="AP47">
        <v>357</v>
      </c>
      <c r="AQ47">
        <v>396</v>
      </c>
      <c r="AR47">
        <v>449</v>
      </c>
      <c r="AS47">
        <v>497</v>
      </c>
      <c r="AT47">
        <v>430</v>
      </c>
    </row>
    <row r="48" spans="1:46" x14ac:dyDescent="0.15">
      <c r="A48" s="30" t="s">
        <v>73</v>
      </c>
      <c r="B48">
        <v>13307</v>
      </c>
      <c r="C48">
        <v>862</v>
      </c>
      <c r="D48" s="14">
        <v>5279</v>
      </c>
      <c r="E48">
        <v>12127</v>
      </c>
      <c r="F48">
        <v>742</v>
      </c>
      <c r="G48" s="14">
        <v>5491</v>
      </c>
      <c r="H48">
        <v>13448</v>
      </c>
      <c r="I48">
        <v>905</v>
      </c>
      <c r="J48" s="14">
        <v>6062</v>
      </c>
      <c r="K48">
        <v>126</v>
      </c>
      <c r="L48">
        <v>242</v>
      </c>
      <c r="M48">
        <v>379</v>
      </c>
      <c r="N48">
        <v>542</v>
      </c>
      <c r="O48">
        <v>696</v>
      </c>
      <c r="P48">
        <v>862</v>
      </c>
      <c r="W48" s="29">
        <v>110</v>
      </c>
      <c r="X48">
        <v>202</v>
      </c>
      <c r="Y48">
        <v>363</v>
      </c>
      <c r="Z48">
        <v>474</v>
      </c>
      <c r="AA48">
        <v>609</v>
      </c>
      <c r="AB48">
        <v>742</v>
      </c>
      <c r="AC48">
        <v>861</v>
      </c>
      <c r="AD48">
        <v>941</v>
      </c>
      <c r="AE48">
        <v>1032</v>
      </c>
      <c r="AF48">
        <v>1138</v>
      </c>
      <c r="AG48">
        <v>1266</v>
      </c>
      <c r="AH48" s="14">
        <v>1270</v>
      </c>
      <c r="AI48">
        <v>112</v>
      </c>
      <c r="AJ48">
        <v>224</v>
      </c>
      <c r="AK48">
        <v>405</v>
      </c>
      <c r="AL48">
        <v>571</v>
      </c>
      <c r="AM48">
        <v>741</v>
      </c>
      <c r="AN48">
        <v>905</v>
      </c>
      <c r="AO48">
        <v>1037</v>
      </c>
      <c r="AP48">
        <v>1115</v>
      </c>
      <c r="AQ48">
        <v>1275</v>
      </c>
      <c r="AR48">
        <v>1462</v>
      </c>
      <c r="AS48">
        <v>1620</v>
      </c>
      <c r="AT48">
        <v>1656</v>
      </c>
    </row>
    <row r="49" spans="1:46" x14ac:dyDescent="0.15">
      <c r="A49" s="30" t="s">
        <v>74</v>
      </c>
      <c r="B49">
        <v>11182</v>
      </c>
      <c r="C49">
        <v>1193</v>
      </c>
      <c r="D49" s="14">
        <v>4311</v>
      </c>
      <c r="E49">
        <v>10457</v>
      </c>
      <c r="F49">
        <v>890</v>
      </c>
      <c r="G49" s="14">
        <v>4595</v>
      </c>
      <c r="H49">
        <v>9952</v>
      </c>
      <c r="I49">
        <v>810</v>
      </c>
      <c r="J49" s="14">
        <v>4298</v>
      </c>
      <c r="K49">
        <v>111</v>
      </c>
      <c r="L49">
        <v>233</v>
      </c>
      <c r="M49">
        <v>397</v>
      </c>
      <c r="N49">
        <v>588</v>
      </c>
      <c r="O49">
        <v>1030</v>
      </c>
      <c r="P49">
        <v>1193</v>
      </c>
      <c r="W49" s="29">
        <v>34</v>
      </c>
      <c r="X49">
        <v>107</v>
      </c>
      <c r="Y49">
        <v>198</v>
      </c>
      <c r="Z49">
        <v>265</v>
      </c>
      <c r="AA49">
        <v>318</v>
      </c>
      <c r="AB49">
        <v>382</v>
      </c>
      <c r="AC49">
        <v>450</v>
      </c>
      <c r="AD49">
        <v>525</v>
      </c>
      <c r="AE49">
        <v>589</v>
      </c>
      <c r="AF49">
        <v>640</v>
      </c>
      <c r="AG49">
        <v>733</v>
      </c>
      <c r="AH49" s="14">
        <v>806</v>
      </c>
      <c r="AI49">
        <v>95</v>
      </c>
      <c r="AJ49">
        <v>176</v>
      </c>
      <c r="AK49">
        <v>270</v>
      </c>
      <c r="AL49">
        <v>362</v>
      </c>
      <c r="AM49">
        <v>454</v>
      </c>
      <c r="AN49">
        <v>542</v>
      </c>
      <c r="AO49">
        <v>639</v>
      </c>
      <c r="AP49">
        <v>734</v>
      </c>
      <c r="AQ49">
        <v>835</v>
      </c>
      <c r="AR49">
        <v>939</v>
      </c>
      <c r="AS49">
        <v>1038</v>
      </c>
      <c r="AT49">
        <v>1080</v>
      </c>
    </row>
    <row r="50" spans="1:46" x14ac:dyDescent="0.15">
      <c r="A50" s="30" t="s">
        <v>75</v>
      </c>
      <c r="B50">
        <v>8250</v>
      </c>
      <c r="C50">
        <v>541</v>
      </c>
      <c r="D50" s="14">
        <v>5923</v>
      </c>
      <c r="E50">
        <v>8507</v>
      </c>
      <c r="F50">
        <v>369</v>
      </c>
      <c r="G50" s="14">
        <v>6622</v>
      </c>
      <c r="H50">
        <v>8899</v>
      </c>
      <c r="I50">
        <v>474</v>
      </c>
      <c r="J50" s="14">
        <v>6231</v>
      </c>
      <c r="K50">
        <v>100</v>
      </c>
      <c r="L50">
        <v>177</v>
      </c>
      <c r="M50">
        <v>252</v>
      </c>
      <c r="N50">
        <v>329</v>
      </c>
      <c r="O50">
        <v>461</v>
      </c>
      <c r="P50">
        <v>541</v>
      </c>
      <c r="W50" s="29">
        <v>88</v>
      </c>
      <c r="X50">
        <v>103</v>
      </c>
      <c r="Y50">
        <v>181</v>
      </c>
      <c r="Z50">
        <v>259</v>
      </c>
      <c r="AA50">
        <v>303</v>
      </c>
      <c r="AB50">
        <v>369</v>
      </c>
      <c r="AC50">
        <v>404</v>
      </c>
      <c r="AD50">
        <v>385</v>
      </c>
      <c r="AE50">
        <v>407</v>
      </c>
      <c r="AF50">
        <v>407</v>
      </c>
      <c r="AG50">
        <v>424</v>
      </c>
      <c r="AH50" s="14">
        <v>349</v>
      </c>
      <c r="AI50">
        <v>85</v>
      </c>
      <c r="AJ50">
        <v>136</v>
      </c>
      <c r="AK50">
        <v>213</v>
      </c>
      <c r="AL50">
        <v>298</v>
      </c>
      <c r="AM50">
        <v>386</v>
      </c>
      <c r="AN50">
        <v>474</v>
      </c>
      <c r="AO50">
        <v>543</v>
      </c>
      <c r="AP50">
        <v>549</v>
      </c>
      <c r="AQ50">
        <v>627</v>
      </c>
      <c r="AR50">
        <v>707</v>
      </c>
      <c r="AS50">
        <v>788</v>
      </c>
      <c r="AT50">
        <v>788</v>
      </c>
    </row>
    <row r="51" spans="1:46" x14ac:dyDescent="0.15">
      <c r="A51" s="30" t="s">
        <v>76</v>
      </c>
      <c r="B51">
        <v>8152</v>
      </c>
      <c r="C51">
        <v>258</v>
      </c>
      <c r="D51" s="14">
        <v>5700</v>
      </c>
      <c r="E51">
        <v>10832</v>
      </c>
      <c r="F51">
        <v>577</v>
      </c>
      <c r="G51" s="14">
        <v>5100</v>
      </c>
      <c r="H51">
        <v>9698</v>
      </c>
      <c r="I51">
        <v>350</v>
      </c>
      <c r="J51" s="14">
        <v>5200</v>
      </c>
      <c r="K51">
        <v>46</v>
      </c>
      <c r="L51">
        <v>106</v>
      </c>
      <c r="M51">
        <v>123</v>
      </c>
      <c r="N51">
        <v>149</v>
      </c>
      <c r="O51">
        <v>236</v>
      </c>
      <c r="P51">
        <v>258</v>
      </c>
      <c r="W51" s="29">
        <v>108</v>
      </c>
      <c r="X51">
        <v>227</v>
      </c>
      <c r="Y51">
        <v>320</v>
      </c>
      <c r="Z51">
        <v>414</v>
      </c>
      <c r="AA51">
        <v>495</v>
      </c>
      <c r="AB51">
        <v>577</v>
      </c>
      <c r="AC51">
        <v>654</v>
      </c>
      <c r="AD51">
        <v>934</v>
      </c>
      <c r="AE51">
        <v>934</v>
      </c>
      <c r="AF51">
        <v>934</v>
      </c>
      <c r="AG51">
        <v>991</v>
      </c>
      <c r="AH51" s="14">
        <v>930</v>
      </c>
      <c r="AI51">
        <v>27</v>
      </c>
      <c r="AJ51">
        <v>114</v>
      </c>
      <c r="AK51">
        <v>183</v>
      </c>
      <c r="AL51">
        <v>266</v>
      </c>
      <c r="AM51">
        <v>326</v>
      </c>
      <c r="AN51">
        <v>350</v>
      </c>
      <c r="AO51">
        <v>388</v>
      </c>
      <c r="AP51">
        <v>434</v>
      </c>
      <c r="AQ51">
        <v>480</v>
      </c>
      <c r="AR51">
        <v>513</v>
      </c>
      <c r="AS51">
        <v>557</v>
      </c>
      <c r="AT51">
        <v>528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5:Q21"/>
  <sheetViews>
    <sheetView tabSelected="1" topLeftCell="L1" zoomScale="150" workbookViewId="0">
      <selection activeCell="Q7" sqref="Q7"/>
    </sheetView>
  </sheetViews>
  <sheetFormatPr baseColWidth="10" defaultColWidth="8.83203125" defaultRowHeight="14" x14ac:dyDescent="0.15"/>
  <cols>
    <col min="1" max="1" width="9" customWidth="1"/>
    <col min="5" max="5" width="7.33203125" customWidth="1"/>
    <col min="6" max="6" width="6.1640625" customWidth="1"/>
    <col min="13" max="13" width="17.1640625" customWidth="1"/>
    <col min="14" max="14" width="7.1640625" customWidth="1"/>
    <col min="16" max="16" width="13.33203125" customWidth="1"/>
  </cols>
  <sheetData>
    <row r="5" spans="2:17" x14ac:dyDescent="0.15">
      <c r="O5" t="s">
        <v>0</v>
      </c>
      <c r="P5" t="s">
        <v>13</v>
      </c>
      <c r="Q5" s="1"/>
    </row>
    <row r="6" spans="2:17" x14ac:dyDescent="0.15">
      <c r="O6" t="s">
        <v>14</v>
      </c>
      <c r="P6" t="s">
        <v>15</v>
      </c>
      <c r="Q6" s="2"/>
    </row>
    <row r="7" spans="2:17" x14ac:dyDescent="0.15">
      <c r="O7" t="s">
        <v>16</v>
      </c>
      <c r="P7" t="s">
        <v>108</v>
      </c>
      <c r="Q7" s="3"/>
    </row>
    <row r="11" spans="2:17" x14ac:dyDescent="0.15">
      <c r="C11" t="s">
        <v>0</v>
      </c>
      <c r="D11" t="s">
        <v>1</v>
      </c>
      <c r="E11" t="s">
        <v>2</v>
      </c>
      <c r="G11" t="s">
        <v>0</v>
      </c>
      <c r="H11" t="s">
        <v>1</v>
      </c>
      <c r="I11" t="s">
        <v>2</v>
      </c>
      <c r="K11" t="s">
        <v>0</v>
      </c>
      <c r="L11" t="s">
        <v>1</v>
      </c>
      <c r="M11" t="s">
        <v>2</v>
      </c>
    </row>
    <row r="12" spans="2:17" x14ac:dyDescent="0.15">
      <c r="B12" t="s">
        <v>3</v>
      </c>
    </row>
    <row r="13" spans="2:17" x14ac:dyDescent="0.15">
      <c r="B13" t="s">
        <v>4</v>
      </c>
    </row>
    <row r="14" spans="2:17" x14ac:dyDescent="0.15">
      <c r="B14" t="s">
        <v>5</v>
      </c>
    </row>
    <row r="15" spans="2:17" x14ac:dyDescent="0.15">
      <c r="B15" t="s">
        <v>6</v>
      </c>
    </row>
    <row r="16" spans="2:17" x14ac:dyDescent="0.15">
      <c r="B16" t="s">
        <v>7</v>
      </c>
    </row>
    <row r="17" spans="2:2" x14ac:dyDescent="0.15">
      <c r="B17" t="s">
        <v>8</v>
      </c>
    </row>
    <row r="18" spans="2:2" x14ac:dyDescent="0.15">
      <c r="B18" t="s">
        <v>9</v>
      </c>
    </row>
    <row r="19" spans="2:2" x14ac:dyDescent="0.15">
      <c r="B19" t="s">
        <v>10</v>
      </c>
    </row>
    <row r="20" spans="2:2" x14ac:dyDescent="0.15">
      <c r="B20" t="s">
        <v>11</v>
      </c>
    </row>
    <row r="21" spans="2:2" x14ac:dyDescent="0.15">
      <c r="B21" t="s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1"/>
  <sheetViews>
    <sheetView showGridLines="0" workbookViewId="0">
      <selection activeCell="D24" sqref="D24"/>
    </sheetView>
  </sheetViews>
  <sheetFormatPr baseColWidth="10" defaultColWidth="8.83203125" defaultRowHeight="14" x14ac:dyDescent="0.15"/>
  <cols>
    <col min="1" max="1" width="9" customWidth="1"/>
    <col min="2" max="2" width="1.83203125" customWidth="1"/>
    <col min="4" max="4" width="9.5" bestFit="1" customWidth="1"/>
  </cols>
  <sheetData>
    <row r="1" spans="2:16" ht="7.5" customHeight="1" x14ac:dyDescent="0.15"/>
    <row r="2" spans="2:16" ht="4.5" customHeight="1" x14ac:dyDescent="0.15"/>
    <row r="3" spans="2:16" ht="8.25" customHeight="1" x14ac:dyDescent="0.1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2:16" ht="23" x14ac:dyDescent="0.25">
      <c r="B4" s="71"/>
      <c r="C4" s="72" t="s">
        <v>122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2:16" x14ac:dyDescent="0.15">
      <c r="B5" s="71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1"/>
    </row>
    <row r="6" spans="2:16" ht="18" x14ac:dyDescent="0.2">
      <c r="B6" s="71"/>
      <c r="C6" s="74"/>
      <c r="D6" s="75" t="s">
        <v>123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1"/>
    </row>
    <row r="7" spans="2:16" x14ac:dyDescent="0.15">
      <c r="B7" s="71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1"/>
    </row>
    <row r="8" spans="2:16" x14ac:dyDescent="0.15">
      <c r="B8" s="71"/>
      <c r="C8" s="76"/>
      <c r="D8" s="76" t="s">
        <v>124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1"/>
    </row>
    <row r="9" spans="2:16" x14ac:dyDescent="0.15">
      <c r="B9" s="71"/>
      <c r="C9" s="76"/>
      <c r="D9" s="77" t="s">
        <v>125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1"/>
    </row>
    <row r="10" spans="2:16" x14ac:dyDescent="0.15">
      <c r="B10" s="71"/>
      <c r="C10" s="76"/>
      <c r="D10" s="76" t="s">
        <v>126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1"/>
    </row>
    <row r="11" spans="2:16" x14ac:dyDescent="0.15">
      <c r="B11" s="71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1"/>
    </row>
    <row r="12" spans="2:16" ht="18" x14ac:dyDescent="0.2">
      <c r="B12" s="71"/>
      <c r="C12" s="76"/>
      <c r="D12" s="75" t="s">
        <v>127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1"/>
    </row>
    <row r="13" spans="2:16" x14ac:dyDescent="0.15">
      <c r="B13" s="71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1"/>
    </row>
    <row r="14" spans="2:16" x14ac:dyDescent="0.15">
      <c r="B14" s="71"/>
      <c r="C14" s="76"/>
      <c r="D14" s="76" t="s">
        <v>128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1"/>
    </row>
    <row r="15" spans="2:16" x14ac:dyDescent="0.15">
      <c r="B15" s="71"/>
      <c r="C15" s="76"/>
      <c r="D15" s="76" t="s">
        <v>129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1"/>
    </row>
    <row r="16" spans="2:16" x14ac:dyDescent="0.15">
      <c r="B16" s="71"/>
      <c r="C16" s="76"/>
      <c r="D16" s="76" t="s">
        <v>143</v>
      </c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1"/>
    </row>
    <row r="17" spans="2:16" x14ac:dyDescent="0.15">
      <c r="B17" s="71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1"/>
    </row>
    <row r="18" spans="2:16" x14ac:dyDescent="0.15">
      <c r="B18" s="71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1"/>
    </row>
    <row r="19" spans="2:16" x14ac:dyDescent="0.15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</row>
    <row r="21" spans="2:16" ht="23" x14ac:dyDescent="0.25">
      <c r="B21" s="71"/>
      <c r="C21" s="72" t="s">
        <v>130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spans="2:16" x14ac:dyDescent="0.15">
      <c r="B22" s="71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1"/>
    </row>
    <row r="23" spans="2:16" x14ac:dyDescent="0.15">
      <c r="B23" s="71"/>
      <c r="C23" s="76"/>
      <c r="D23" s="79" t="s">
        <v>131</v>
      </c>
      <c r="E23" s="76"/>
      <c r="F23" s="76" t="s">
        <v>132</v>
      </c>
      <c r="G23" s="76"/>
      <c r="H23" s="76"/>
      <c r="I23" s="76"/>
      <c r="J23" s="76"/>
      <c r="K23" s="76"/>
      <c r="L23" s="76"/>
      <c r="M23" s="76"/>
      <c r="N23" s="76"/>
      <c r="O23" s="76"/>
      <c r="P23" s="71"/>
    </row>
    <row r="24" spans="2:16" x14ac:dyDescent="0.15">
      <c r="B24" s="71"/>
      <c r="C24" s="76"/>
      <c r="D24" s="79" t="s">
        <v>133</v>
      </c>
      <c r="E24" s="76"/>
      <c r="F24" s="76" t="s">
        <v>134</v>
      </c>
      <c r="G24" s="76"/>
      <c r="H24" s="76"/>
      <c r="I24" s="76"/>
      <c r="J24" s="76"/>
      <c r="K24" s="76"/>
      <c r="L24" s="76"/>
      <c r="M24" s="76"/>
      <c r="N24" s="76"/>
      <c r="O24" s="76"/>
      <c r="P24" s="71"/>
    </row>
    <row r="25" spans="2:16" x14ac:dyDescent="0.15">
      <c r="B25" s="71"/>
      <c r="C25" s="76"/>
      <c r="D25" s="79" t="s">
        <v>135</v>
      </c>
      <c r="E25" s="76"/>
      <c r="F25" s="76" t="s">
        <v>136</v>
      </c>
      <c r="G25" s="76"/>
      <c r="H25" s="76"/>
      <c r="I25" s="76"/>
      <c r="J25" s="76"/>
      <c r="K25" s="76"/>
      <c r="L25" s="76"/>
      <c r="M25" s="76"/>
      <c r="N25" s="76"/>
      <c r="O25" s="76"/>
      <c r="P25" s="71"/>
    </row>
    <row r="26" spans="2:16" x14ac:dyDescent="0.15">
      <c r="B26" s="71"/>
      <c r="C26" s="76"/>
      <c r="D26" s="79" t="s">
        <v>137</v>
      </c>
      <c r="E26" s="76"/>
      <c r="F26" s="76" t="s">
        <v>138</v>
      </c>
      <c r="G26" s="76"/>
      <c r="H26" s="76"/>
      <c r="I26" s="76"/>
      <c r="J26" s="76"/>
      <c r="K26" s="76"/>
      <c r="L26" s="76"/>
      <c r="M26" s="76"/>
      <c r="N26" s="76"/>
      <c r="O26" s="76"/>
      <c r="P26" s="71"/>
    </row>
    <row r="27" spans="2:16" x14ac:dyDescent="0.15">
      <c r="B27" s="71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1"/>
    </row>
    <row r="28" spans="2:16" x14ac:dyDescent="0.15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30" spans="2:16" ht="23" x14ac:dyDescent="0.25">
      <c r="B30" s="71"/>
      <c r="C30" s="72" t="s">
        <v>139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</row>
    <row r="31" spans="2:16" x14ac:dyDescent="0.15">
      <c r="B31" s="71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1"/>
    </row>
    <row r="32" spans="2:16" x14ac:dyDescent="0.15">
      <c r="B32" s="71"/>
      <c r="C32" s="76"/>
      <c r="D32" s="78">
        <v>42955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1"/>
    </row>
    <row r="33" spans="2:16" x14ac:dyDescent="0.15">
      <c r="B33" s="71"/>
      <c r="C33" s="76"/>
      <c r="D33" s="76" t="s">
        <v>140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1"/>
    </row>
    <row r="34" spans="2:16" x14ac:dyDescent="0.15">
      <c r="B34" s="71"/>
      <c r="C34" s="76"/>
      <c r="D34" s="77" t="s">
        <v>141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1"/>
    </row>
    <row r="35" spans="2:16" x14ac:dyDescent="0.15">
      <c r="B35" s="71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1"/>
    </row>
    <row r="36" spans="2:16" x14ac:dyDescent="0.15">
      <c r="B36" s="71"/>
      <c r="C36" s="76"/>
      <c r="D36" s="78">
        <v>42988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1"/>
    </row>
    <row r="37" spans="2:16" x14ac:dyDescent="0.15">
      <c r="B37" s="71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1"/>
    </row>
    <row r="38" spans="2:16" x14ac:dyDescent="0.15">
      <c r="B38" s="71"/>
      <c r="C38" s="76"/>
      <c r="D38" s="76" t="s">
        <v>142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1"/>
    </row>
    <row r="39" spans="2:16" x14ac:dyDescent="0.15">
      <c r="B39" s="71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1"/>
    </row>
    <row r="40" spans="2:16" x14ac:dyDescent="0.15">
      <c r="B40" s="71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1"/>
    </row>
    <row r="41" spans="2:16" x14ac:dyDescent="0.15"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</row>
  </sheetData>
  <hyperlinks>
    <hyperlink ref="D26" r:id="rId1" xr:uid="{00000000-0004-0000-0400-000000000000}"/>
    <hyperlink ref="D23" location="Dashboard!A1" display="Dashboard" xr:uid="{00000000-0004-0000-0400-000001000000}"/>
    <hyperlink ref="D24" location="Calculation!A1" display="Calculation" xr:uid="{00000000-0004-0000-0400-000002000000}"/>
    <hyperlink ref="D25" location="Data!A1" display="Raw Data" xr:uid="{00000000-0004-0000-0400-000003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23676-DEDF-4B0A-A6EB-6F5BED6E7DF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Dashboard</vt:lpstr>
      <vt:lpstr>Calculation</vt:lpstr>
      <vt:lpstr>Data</vt:lpstr>
      <vt:lpstr>Wireframe</vt:lpstr>
      <vt:lpstr>Control</vt:lpstr>
      <vt:lpstr>cur_month</vt:lpstr>
      <vt:lpstr>cur_year</vt:lpstr>
    </vt:vector>
  </TitlesOfParts>
  <Company>www.xelplus.com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dashboard is part of my online Excel Dashboard course called "visually effective Excel Dashboards"</dc:description>
  <cp:lastModifiedBy>Akanksha Sharma</cp:lastModifiedBy>
  <cp:lastPrinted>2017-04-12T18:36:06Z</cp:lastPrinted>
  <dcterms:created xsi:type="dcterms:W3CDTF">2017-03-13T09:30:03Z</dcterms:created>
  <dcterms:modified xsi:type="dcterms:W3CDTF">2026-01-21T16:55:14Z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2026-01-21T16:55:14Z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96125e3c-48c9-4c10-9b08-1fc03d2f93a2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

<file path=userCustomization/customUI.xml><?xml version="1.0" encoding="utf-8"?>
<mso:customUI xmlns:doc="http://schemas.microsoft.com/office/2006/01/customui/currentDocument" xmlns:mso="http://schemas.microsoft.com/office/2006/01/customui">
  <mso:ribbon>
    <mso:qat>
      <mso:documentControls>
        <mso:control idQ="mso:ObjectAlignMenu" visible="true"/>
        <mso:control idQ="mso:ObjectsGroupMenu" visible="true"/>
        <mso:separator idQ="doc:sep1" visible="true"/>
        <mso:control idQ="mso:GroupShapes" visible="true"/>
        <mso:control idQ="mso:ShapeFillColorPicker" visible="true"/>
        <mso:control idQ="mso:ShapeOutlineColorPicker" visible="true"/>
      </mso:documentControls>
    </mso:qat>
  </mso:ribbon>
</mso:customUI>
</file>