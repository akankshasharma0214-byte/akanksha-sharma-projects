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Data" sheetId="1" state="visible" r:id="rId3"/>
    <sheet name="KPI_Summary" sheetId="2" state="visible" r:id="rId4"/>
    <sheet name="Revenue_Trends" sheetId="3" state="visible" r:id="rId5"/>
    <sheet name="EPS_Trends" sheetId="4" state="visible" r:id="rId6"/>
    <sheet name="Waterfall_Bridge" sheetId="5" state="visible" r:id="rId7"/>
    <sheet name="Scenarios_2027" sheetId="6" state="visible" r:id="rId8"/>
    <sheet name="PowerBI_Guid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<sst xmlns="http://schemas.openxmlformats.org/spreadsheetml/2006/main" count="394" uniqueCount="168">
  <si>
    <t xml:space="preserve">Cross-Industry Financial Analysis — Master Dataset (FY2020–FY2025)</t>
  </si>
  <si>
    <t xml:space="preserve">Company</t>
  </si>
  <si>
    <t xml:space="preserve">Ticker</t>
  </si>
  <si>
    <t xml:space="preserve">Industry</t>
  </si>
  <si>
    <t xml:space="preserve">Metric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</si>
  <si>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</si>
  <si>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</si>
  <si>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</si>
  <si>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</si>
  <si>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</si>
  <si>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FY2025E</t>
  </si>
  <si>
    <t xml:space="preserve">5Y CAGR</t>
  </si>
  <si>
    <t xml:space="preserve">Source</t>
  </si>
  <si>
    <t xml:space="preserve">Primoris Services</t>
  </si>
  <si>
    <t xml:space="preserve">PRIM</t>
  </si>
  <si>
    <t xml:space="preserve">Infrastructure</t>
  </si>
  <si>
    <t xml:space="preserve">Revenue ($B)</t>
  </si>
  <si>
    <t xml:space="preserve">SEC 8-K Annual Results</t>
  </si>
  <si>
    <t xml:space="preserve">Revenue Growth (%)</t>
  </si>
  <si>
    <t xml:space="preserve">N/A</t>
  </si>
  <si>
    <t xml:space="preserve">Adj. EBITDA ($B)</t>
  </si>
  <si>
    <t xml:space="preserve">EBITDA Margin (%)</t>
  </si>
  <si>
    <t xml:space="preserve">Net Income ($B)</t>
  </si>
  <si>
    <t xml:space="preserve">EPS (Diluted $)</t>
  </si>
  <si>
    <t xml:space="preserve">Backlog ($B)</t>
  </si>
  <si>
    <t xml:space="preserve">Operating Cash Flow ($B)</t>
  </si>
  <si>
    <t xml:space="preserve">CapEx ($B)</t>
  </si>
  <si>
    <t xml:space="preserve">Microsoft</t>
  </si>
  <si>
    <t xml:space="preserve">MSFT</t>
  </si>
  <si>
    <t xml:space="preserve">Technology</t>
  </si>
  <si>
    <t xml:space="preserve">SEC 10-K / 8-K Annual Results</t>
  </si>
  <si>
    <t xml:space="preserve">Operating Income ($B)</t>
  </si>
  <si>
    <t xml:space="preserve">Operating Margin (%)</t>
  </si>
  <si>
    <t xml:space="preserve">Cloud Revenue ($B)</t>
  </si>
  <si>
    <t xml:space="preserve">Johnson &amp; Johnson</t>
  </si>
  <si>
    <t xml:space="preserve">JNJ</t>
  </si>
  <si>
    <t xml:space="preserve">Healthcare</t>
  </si>
  <si>
    <t xml:space="preserve">Adj. EPS ($)</t>
  </si>
  <si>
    <t xml:space="preserve">Adj. EPS Growth (%)</t>
  </si>
  <si>
    <t xml:space="preserve">R&amp;D Investment ($B)</t>
  </si>
  <si>
    <t xml:space="preserve">R&amp;D as % of Revenue (%)</t>
  </si>
  <si>
    <t xml:space="preserve">Free Cash Flow ($B)</t>
  </si>
  <si>
    <t xml:space="preserve">Dividend Per Share ($)</t>
  </si>
  <si>
    <t xml:space="preserve">JPMorgan Chase</t>
  </si>
  <si>
    <t xml:space="preserve">JPM</t>
  </si>
  <si>
    <t xml:space="preserve">Financial Services</t>
  </si>
  <si>
    <t xml:space="preserve">Net Revenue ($B)</t>
  </si>
  <si>
    <t xml:space="preserve">ROTCE (%)</t>
  </si>
  <si>
    <t xml:space="preserve">CET1 Capital Ratio (%)</t>
  </si>
  <si>
    <t xml:space="preserve">AUM - AWM ($T)</t>
  </si>
  <si>
    <t xml:space="preserve">Net Interest Income ($B)</t>
  </si>
  <si>
    <t xml:space="preserve">NextEra Energy</t>
  </si>
  <si>
    <t xml:space="preserve">NEE</t>
  </si>
  <si>
    <t xml:space="preserve">Utilities</t>
  </si>
  <si>
    <t xml:space="preserve">FPL CapEx ($B)</t>
  </si>
  <si>
    <t xml:space="preserve">Renewables Backlog (GW)</t>
  </si>
  <si>
    <t xml:space="preserve">New GW Origination</t>
  </si>
  <si>
    <t xml:space="preserve">Dividend Growth (%)</t>
  </si>
  <si>
    <t xml:space="preserve">KPI Summary — Latest Year (FY2024/FY2025E) — Power BI Cards Source</t>
  </si>
  <si>
    <t xml:space="preserve">Primary EPS Metric</t>
  </si>
  <si>
    <t xml:space="preserve">Latest EPS / Key Metric</t>
  </si>
  <si>
    <t xml:space="preserve">EPS Growth YoY %</t>
  </si>
  <si>
    <t xml:space="preserve">Revenue Latest ($B)</t>
  </si>
  <si>
    <t xml:space="preserve">5Y EPS CAGR</t>
  </si>
  <si>
    <t xml:space="preserve">Market Cap ($B)</t>
  </si>
  <si>
    <t xml:space="preserve">Valuation P/E (Fwd)</t>
  </si>
  <si>
    <t xml:space="preserve">Adj. EBITDA Margin</t>
  </si>
  <si>
    <t xml:space="preserve">EPS (Diluted)</t>
  </si>
  <si>
    <t xml:space="preserve">Adj. EPS</t>
  </si>
  <si>
    <t xml:space="preserve">ROTCE %</t>
  </si>
  <si>
    <t xml:space="preserve">Revenue Trends — All 5 Companies (FY2020–FY2025E)</t>
  </si>
  <si>
    <t xml:space="preserve">Year</t>
  </si>
  <si>
    <t xml:space="preserve">Primoris ($B)</t>
  </si>
  <si>
    <t xml:space="preserve">Microsoft ($B)</t>
  </si>
  <si>
    <t xml:space="preserve">J&amp;J ($B)</t>
  </si>
  <si>
    <t xml:space="preserve">JPMorgan ($B)</t>
  </si>
  <si>
    <t xml:space="preserve">NextEra ($B)</t>
  </si>
  <si>
    <t xml:space="preserve">Notes</t>
  </si>
  <si>
    <t xml:space="preserve">Pre-pandemic baseline</t>
  </si>
  <si>
    <t xml:space="preserve">Recovery + cloud acceleration</t>
  </si>
  <si>
    <t xml:space="preserve">Rate hike cycle begins</t>
  </si>
  <si>
    <t xml:space="preserve">AI era begins; J&amp;J ex-Kenvue</t>
  </si>
  <si>
    <t xml:space="preserve">Infrastructure supercycle</t>
  </si>
  <si>
    <t xml:space="preserve">AI demand drives all sectors</t>
  </si>
  <si>
    <t xml:space="preserve">YoY Growth %</t>
  </si>
  <si>
    <t xml:space="preserve">Adjusted / Reported EPS Trends — All 5 Companies (FY2020–FY2025E)</t>
  </si>
  <si>
    <t xml:space="preserve">Primoris EPS ($)</t>
  </si>
  <si>
    <t xml:space="preserve">Microsoft EPS ($)</t>
  </si>
  <si>
    <t xml:space="preserve">J&amp;J Adj.EPS ($)</t>
  </si>
  <si>
    <t xml:space="preserve">JPM EPS ($)</t>
  </si>
  <si>
    <t xml:space="preserve">NextEra Adj.EPS ($)</t>
  </si>
  <si>
    <t xml:space="preserve">Baseline year</t>
  </si>
  <si>
    <t xml:space="preserve">JPM boosted by reserve releases</t>
  </si>
  <si>
    <t xml:space="preserve">Rate hikes impact JPM provisioning</t>
  </si>
  <si>
    <t xml:space="preserve">PRIM M&amp;A dilution; J&amp;J Stelara peak</t>
  </si>
  <si>
    <t xml:space="preserve">Record year across most companies</t>
  </si>
  <si>
    <t xml:space="preserve">NII compression at JPM; AI drives MSFT</t>
  </si>
  <si>
    <t xml:space="preserve">Revenue Waterfall Bridge — FY2020 to FY2024 by Company</t>
  </si>
  <si>
    <t xml:space="preserve">FY2020 Revenue ($B)</t>
  </si>
  <si>
    <t xml:space="preserve">Revenue Added ($B)</t>
  </si>
  <si>
    <t xml:space="preserve">FY2024 Revenue ($B)</t>
  </si>
  <si>
    <t xml:space="preserve">5Y Growth %</t>
  </si>
  <si>
    <t xml:space="preserve">Key Driver</t>
  </si>
  <si>
    <t xml:space="preserve">Acquisitions (PLH, FIH) + Energy/Utilities organic growth</t>
  </si>
  <si>
    <t xml:space="preserve">Azure cloud +90% + M365 commercial subscriptions</t>
  </si>
  <si>
    <t xml:space="preserve">Pharma growth offset by Kenvue spinoff (-$15B)</t>
  </si>
  <si>
    <t xml:space="preserve">NII surge from Fed rate hikes + First Republic acquisition</t>
  </si>
  <si>
    <t xml:space="preserve">FPL capital growth + NEER renewables expansion</t>
  </si>
  <si>
    <t xml:space="preserve">3-Year Scenario Projections — FY2027E EPS (Bear / Base / Bull)</t>
  </si>
  <si>
    <t xml:space="preserve">FY2024 EPS</t>
  </si>
  <si>
    <t xml:space="preserve">Bear EPS Growth</t>
  </si>
  <si>
    <t xml:space="preserve">Bear FY2027E</t>
  </si>
  <si>
    <t xml:space="preserve">Base EPS Growth</t>
  </si>
  <si>
    <t xml:space="preserve">Base FY2027E</t>
  </si>
  <si>
    <t xml:space="preserve">Bull EPS Growth</t>
  </si>
  <si>
    <t xml:space="preserve">Bull FY2027E</t>
  </si>
  <si>
    <t xml:space="preserve">Financial</t>
  </si>
  <si>
    <t xml:space="preserve">POWER BI BUILD GUIDE — Cross-Industry Financial Dashboard</t>
  </si>
  <si>
    <t xml:space="preserve">POWER BI DASHBOARD BUILD GUIDE</t>
  </si>
  <si>
    <t xml:space="preserve">STEP 1</t>
  </si>
  <si>
    <t xml:space="preserve">CONNECT DATA</t>
  </si>
  <si>
    <t xml:space="preserve">Open Power BI Desktop → Get Data → Excel → select this file → load ALL 6 sheets</t>
  </si>
  <si>
    <t xml:space="preserve">STEP 2</t>
  </si>
  <si>
    <t xml:space="preserve">DATA MODEL</t>
  </si>
  <si>
    <t xml:space="preserve">In Model view: link sheets via Company column (Master_Data → KPI_Summary → Waterfall_Bridge)</t>
  </si>
  <si>
    <t xml:space="preserve">STEP 3</t>
  </si>
  <si>
    <t xml:space="preserve">KPI CARDS</t>
  </si>
  <si>
    <t xml:space="preserve">From KPI_Summary sheet: Insert → Card visual → drag Latest EPS or key metric. Create one card per company.</t>
  </si>
  <si>
    <t xml:space="preserve">STEP 4</t>
  </si>
  <si>
    <t xml:space="preserve">LINE CHART — REVENUE</t>
  </si>
  <si>
    <t xml:space="preserve">From Revenue_Trends: Line chart → X-axis = Year → Lines = each company column</t>
  </si>
  <si>
    <t xml:space="preserve">STEP 5</t>
  </si>
  <si>
    <t xml:space="preserve">LINE CHART — EPS</t>
  </si>
  <si>
    <t xml:space="preserve">From EPS_Trends: Same approach as revenue. Add data labels for clarity.</t>
  </si>
  <si>
    <t xml:space="preserve">STEP 6</t>
  </si>
  <si>
    <t xml:space="preserve">WATERFALL CHART</t>
  </si>
  <si>
    <t xml:space="preserve">From Waterfall_Bridge: Waterfall chart → Category = Company → Y axis = Revenue Added ($B)</t>
  </si>
  <si>
    <t xml:space="preserve">STEP 7</t>
  </si>
  <si>
    <t xml:space="preserve">SCENARIO TABLE</t>
  </si>
  <si>
    <t xml:space="preserve">From Scenarios_2027: Matrix visual → Rows = Company → Values = Bear/Base/Bull FY2027E</t>
  </si>
  <si>
    <t xml:space="preserve">STEP 8</t>
  </si>
  <si>
    <t xml:space="preserve">SLICERS</t>
  </si>
  <si>
    <t xml:space="preserve">Add Company and Industry slicers so dashboard is interactive per company</t>
  </si>
  <si>
    <t xml:space="preserve">STEP 9</t>
  </si>
  <si>
    <t xml:space="preserve">COLOUR THEME</t>
  </si>
  <si>
    <t xml:space="preserve">Use colours: Infrastructure=#0C1B33, Tech=#0078D4, Healthcare=#C2002F, Finance=#9B7D28, Utilities=#0A6E2A</t>
  </si>
  <si>
    <t xml:space="preserve">STEP 10</t>
  </si>
  <si>
    <t xml:space="preserve">EXPORT</t>
  </si>
  <si>
    <t xml:space="preserve">File → Export → PDF for GitHub. Also Publish to Power BI Service for live link.</t>
  </si>
  <si>
    <t xml:space="preserve">DASHBOARD LAYOUT SUGGESTION</t>
  </si>
  <si>
    <t xml:space="preserve">Page 1</t>
  </si>
  <si>
    <t xml:space="preserve">MASTER OVERVIEW</t>
  </si>
  <si>
    <t xml:space="preserve">KPI cards top row + Revenue line chart + EPS line chart below</t>
  </si>
  <si>
    <t xml:space="preserve">Page 2</t>
  </si>
  <si>
    <t xml:space="preserve">PRIMORIS</t>
  </si>
  <si>
    <t xml:space="preserve">Filtered to PRIM: KPI cards + Backlog trend + EBITDA waterfall</t>
  </si>
  <si>
    <t xml:space="preserve">Page 3</t>
  </si>
  <si>
    <t xml:space="preserve">MICROSOFT</t>
  </si>
  <si>
    <t xml:space="preserve">Filtered to MSFT: Revenue/EPS trend + Cloud revenue + Scenario table</t>
  </si>
  <si>
    <t xml:space="preserve">Page 4</t>
  </si>
  <si>
    <t xml:space="preserve">J&amp;J</t>
  </si>
  <si>
    <t xml:space="preserve">Filtered to JNJ: Adj. EPS trend + R&amp;D spend + Pipeline value table</t>
  </si>
  <si>
    <t xml:space="preserve">Page 5</t>
  </si>
  <si>
    <t xml:space="preserve">JPMORGAN</t>
  </si>
  <si>
    <t xml:space="preserve">Filtered to JPM: ROTCE trend + NII vs NonNII + CET1 capital bar</t>
  </si>
  <si>
    <t xml:space="preserve">Page 6</t>
  </si>
  <si>
    <t xml:space="preserve">NEXTERA</t>
  </si>
  <si>
    <t xml:space="preserve">Filtered to NEE: Adj. EPS trend + Backlog GW bar + Scenario comparison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</si>
</sst>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"/>
    <numFmt numFmtId="166" formatCode="0.0%"/>
    <numFmt numFmtId="167" formatCode="\$#,##0.00"/>
    <numFmt numFmtId="168" formatCode="#,##0.0"/>
    <numFmt numFmtId="169" formatCode="\$#,##0"/>
    <numFmt numFmtId="170" formatCode="0.0\x"/>
    <numFmt numFmtId="171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C1B33"/>
      <name val="Arial"/>
      <family val="0"/>
      <charset val="1"/>
    </font>
    <font>
      <sz val="9"/>
      <color rgb="FF333333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A527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C1B33"/>
        <bgColor rgb="FF003300"/>
      </patternFill>
    </fill>
    <fill>
      <patternFill patternType="solid">
        <fgColor rgb="FFEBF5FB"/>
        <bgColor rgb="FFE8F5EC"/>
      </patternFill>
    </fill>
    <fill>
      <patternFill patternType="solid">
        <fgColor rgb="FFE8F5EC"/>
        <bgColor rgb="FFEBF5FB"/>
      </patternFill>
    </fill>
    <fill>
      <patternFill patternType="solid">
        <fgColor rgb="FFFEF9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E8F5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1B33"/>
      <rgbColor rgb="FF339966"/>
      <rgbColor rgb="FF003300"/>
      <rgbColor rgb="FF333300"/>
      <rgbColor rgb="FF993300"/>
      <rgbColor rgb="FF993366"/>
      <rgbColor rgb="FF1A52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10" min="5" style="0" width="10"/>
    <col collapsed="false" customWidth="true" hidden="false" outlineLevel="0" max="11" min="11" style="0" width="8"/>
    <col collapsed="false" customWidth="true" hidden="false" outlineLevel="0" max="12" min="12" style="0" width="35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8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" hidden="false" customHeight="false" outlineLevel="0" collapsed="false">
      <c r="A3" s="3" t="s">
        <v>13</v>
      </c>
      <c r="B3" s="4" t="s">
        <v>14</v>
      </c>
      <c r="C3" s="4" t="s">
        <v>15</v>
      </c>
      <c r="D3" s="4" t="s">
        <v>16</v>
      </c>
      <c r="E3" s="5" t="n">
        <v>3.5</v>
      </c>
      <c r="F3" s="5" t="n">
        <v>3.5</v>
      </c>
      <c r="G3" s="5" t="n">
        <v>4.42</v>
      </c>
      <c r="H3" s="5" t="n">
        <v>5.72</v>
      </c>
      <c r="I3" s="5" t="n">
        <v>6.37</v>
      </c>
      <c r="J3" s="5" t="n">
        <v>6.9</v>
      </c>
      <c r="K3" s="6" t="n">
        <f aca="false">IFERROR((J3/E3)^(1/5)-1,"N/A")</f>
        <v>0.145397443062234</v>
      </c>
      <c r="L3" s="4" t="s">
        <v>17</v>
      </c>
    </row>
    <row r="4" customFormat="false" ht="15" hidden="false" customHeight="false" outlineLevel="0" collapsed="false">
      <c r="A4" s="3" t="s">
        <v>13</v>
      </c>
      <c r="B4" s="4" t="s">
        <v>14</v>
      </c>
      <c r="C4" s="4" t="s">
        <v>15</v>
      </c>
      <c r="D4" s="4" t="s">
        <v>18</v>
      </c>
      <c r="E4" s="7"/>
      <c r="F4" s="7" t="n">
        <v>0</v>
      </c>
      <c r="G4" s="7" t="n">
        <v>0.264</v>
      </c>
      <c r="H4" s="7" t="n">
        <v>0.293</v>
      </c>
      <c r="I4" s="7" t="n">
        <v>0.114</v>
      </c>
      <c r="J4" s="7" t="n">
        <v>0.083</v>
      </c>
      <c r="K4" s="8" t="s">
        <v>19</v>
      </c>
      <c r="L4" s="4" t="s">
        <v>17</v>
      </c>
    </row>
    <row r="5" customFormat="false" ht="15" hidden="false" customHeight="false" outlineLevel="0" collapsed="false">
      <c r="A5" s="3" t="s">
        <v>13</v>
      </c>
      <c r="B5" s="4" t="s">
        <v>14</v>
      </c>
      <c r="C5" s="4" t="s">
        <v>15</v>
      </c>
      <c r="D5" s="4" t="s">
        <v>20</v>
      </c>
      <c r="E5" s="5" t="n">
        <v>0.25</v>
      </c>
      <c r="F5" s="5" t="n">
        <v>0.298</v>
      </c>
      <c r="G5" s="5" t="n">
        <v>0.283</v>
      </c>
      <c r="H5" s="5" t="n">
        <v>0.38</v>
      </c>
      <c r="I5" s="5" t="n">
        <v>0.436</v>
      </c>
      <c r="J5" s="5" t="n">
        <v>0.47</v>
      </c>
      <c r="K5" s="6" t="n">
        <f aca="false">IFERROR((J5/E5)^(1/5)-1,"N/A")</f>
        <v>0.134570715737017</v>
      </c>
      <c r="L5" s="4" t="s">
        <v>17</v>
      </c>
    </row>
    <row r="6" customFormat="false" ht="15" hidden="false" customHeight="false" outlineLevel="0" collapsed="false">
      <c r="A6" s="3" t="s">
        <v>13</v>
      </c>
      <c r="B6" s="4" t="s">
        <v>14</v>
      </c>
      <c r="C6" s="4" t="s">
        <v>15</v>
      </c>
      <c r="D6" s="4" t="s">
        <v>21</v>
      </c>
      <c r="E6" s="7" t="n">
        <v>0.071</v>
      </c>
      <c r="F6" s="7" t="n">
        <v>0.085</v>
      </c>
      <c r="G6" s="7" t="n">
        <v>0.064</v>
      </c>
      <c r="H6" s="7" t="n">
        <v>0.066</v>
      </c>
      <c r="I6" s="7" t="n">
        <v>0.069</v>
      </c>
      <c r="J6" s="7" t="n">
        <v>0.068</v>
      </c>
      <c r="K6" s="8" t="s">
        <v>19</v>
      </c>
      <c r="L6" s="4" t="s">
        <v>17</v>
      </c>
    </row>
    <row r="7" customFormat="false" ht="15" hidden="false" customHeight="false" outlineLevel="0" collapsed="false">
      <c r="A7" s="3" t="s">
        <v>13</v>
      </c>
      <c r="B7" s="4" t="s">
        <v>14</v>
      </c>
      <c r="C7" s="4" t="s">
        <v>15</v>
      </c>
      <c r="D7" s="4" t="s">
        <v>22</v>
      </c>
      <c r="E7" s="5" t="n">
        <v>0.105</v>
      </c>
      <c r="F7" s="5" t="n">
        <v>0.116</v>
      </c>
      <c r="G7" s="5" t="n">
        <v>0.133</v>
      </c>
      <c r="H7" s="5" t="n">
        <v>0.126</v>
      </c>
      <c r="I7" s="5" t="n">
        <v>0.181</v>
      </c>
      <c r="J7" s="5" t="n">
        <v>0.21</v>
      </c>
      <c r="K7" s="6" t="n">
        <f aca="false">IFERROR((J7/E7)^(1/5)-1,"N/A")</f>
        <v>0.148698354997035</v>
      </c>
      <c r="L7" s="4" t="s">
        <v>17</v>
      </c>
    </row>
    <row r="8" customFormat="false" ht="15" hidden="false" customHeight="false" outlineLevel="0" collapsed="false">
      <c r="A8" s="3" t="s">
        <v>13</v>
      </c>
      <c r="B8" s="4" t="s">
        <v>14</v>
      </c>
      <c r="C8" s="4" t="s">
        <v>15</v>
      </c>
      <c r="D8" s="4" t="s">
        <v>23</v>
      </c>
      <c r="E8" s="9" t="n">
        <v>2.16</v>
      </c>
      <c r="F8" s="9" t="n">
        <v>2.17</v>
      </c>
      <c r="G8" s="9" t="n">
        <v>2.47</v>
      </c>
      <c r="H8" s="9" t="n">
        <v>2.33</v>
      </c>
      <c r="I8" s="9" t="n">
        <v>3.31</v>
      </c>
      <c r="J8" s="9" t="n">
        <v>3.75</v>
      </c>
      <c r="K8" s="6" t="n">
        <f aca="false">IFERROR((J8/E8)^(1/5)-1,"N/A")</f>
        <v>0.11664597110381</v>
      </c>
      <c r="L8" s="4" t="s">
        <v>17</v>
      </c>
    </row>
    <row r="9" customFormat="false" ht="15" hidden="false" customHeight="false" outlineLevel="0" collapsed="false">
      <c r="A9" s="3" t="s">
        <v>13</v>
      </c>
      <c r="B9" s="4" t="s">
        <v>14</v>
      </c>
      <c r="C9" s="4" t="s">
        <v>15</v>
      </c>
      <c r="D9" s="4" t="s">
        <v>24</v>
      </c>
      <c r="E9" s="5" t="n">
        <v>2.8</v>
      </c>
      <c r="F9" s="5" t="n">
        <v>4</v>
      </c>
      <c r="G9" s="5" t="n">
        <v>5.5</v>
      </c>
      <c r="H9" s="5" t="n">
        <v>10.9</v>
      </c>
      <c r="I9" s="5" t="n">
        <v>11.9</v>
      </c>
      <c r="J9" s="5" t="n">
        <v>12.5</v>
      </c>
      <c r="K9" s="6" t="n">
        <f aca="false">IFERROR((J9/E9)^(1/5)-1,"N/A")</f>
        <v>0.348808817350182</v>
      </c>
      <c r="L9" s="4" t="s">
        <v>17</v>
      </c>
    </row>
    <row r="10" customFormat="false" ht="15" hidden="false" customHeight="false" outlineLevel="0" collapsed="false">
      <c r="A10" s="3" t="s">
        <v>13</v>
      </c>
      <c r="B10" s="4" t="s">
        <v>14</v>
      </c>
      <c r="C10" s="4" t="s">
        <v>15</v>
      </c>
      <c r="D10" s="4" t="s">
        <v>25</v>
      </c>
      <c r="E10" s="5" t="n">
        <v>0.312</v>
      </c>
      <c r="F10" s="5" t="n">
        <v>0.199</v>
      </c>
      <c r="G10" s="5" t="n">
        <v>0.083</v>
      </c>
      <c r="H10" s="5" t="n">
        <v>0.199</v>
      </c>
      <c r="I10" s="5" t="n">
        <v>0.508</v>
      </c>
      <c r="J10" s="5" t="n">
        <v>0.52</v>
      </c>
      <c r="K10" s="6" t="n">
        <f aca="false">IFERROR((J10/E10)^(1/5)-1,"N/A")</f>
        <v>0.10756634324829</v>
      </c>
      <c r="L10" s="4" t="s">
        <v>17</v>
      </c>
    </row>
    <row r="11" customFormat="false" ht="15" hidden="false" customHeight="false" outlineLevel="0" collapsed="false">
      <c r="A11" s="3" t="s">
        <v>13</v>
      </c>
      <c r="B11" s="4" t="s">
        <v>14</v>
      </c>
      <c r="C11" s="4" t="s">
        <v>15</v>
      </c>
      <c r="D11" s="4" t="s">
        <v>26</v>
      </c>
      <c r="E11" s="5" t="n">
        <v>0.08</v>
      </c>
      <c r="F11" s="5" t="n">
        <v>0.09</v>
      </c>
      <c r="G11" s="5" t="n">
        <v>0.1</v>
      </c>
      <c r="H11" s="5" t="n">
        <v>0.12</v>
      </c>
      <c r="I11" s="5" t="n">
        <v>0.13</v>
      </c>
      <c r="J11" s="5" t="n">
        <v>0.13</v>
      </c>
      <c r="K11" s="6" t="n">
        <f aca="false">IFERROR((J11/E11)^(1/5)-1,"N/A")</f>
        <v>0.10197228772148</v>
      </c>
      <c r="L11" s="4" t="s">
        <v>17</v>
      </c>
    </row>
    <row r="12" customFormat="false" ht="15" hidden="false" customHeight="false" outlineLevel="0" collapsed="false">
      <c r="A12" s="10" t="s">
        <v>27</v>
      </c>
      <c r="B12" s="11" t="s">
        <v>28</v>
      </c>
      <c r="C12" s="11" t="s">
        <v>29</v>
      </c>
      <c r="D12" s="11" t="s">
        <v>16</v>
      </c>
      <c r="E12" s="12" t="n">
        <v>143</v>
      </c>
      <c r="F12" s="12" t="n">
        <v>168.1</v>
      </c>
      <c r="G12" s="12" t="n">
        <v>198.3</v>
      </c>
      <c r="H12" s="12" t="n">
        <v>211.9</v>
      </c>
      <c r="I12" s="12" t="n">
        <v>245.1</v>
      </c>
      <c r="J12" s="12" t="n">
        <v>281.7</v>
      </c>
      <c r="K12" s="13" t="n">
        <f aca="false">IFERROR((J12/E12)^(1/5)-1,"N/A")</f>
        <v>0.145223264610889</v>
      </c>
      <c r="L12" s="11" t="s">
        <v>30</v>
      </c>
    </row>
    <row r="13" customFormat="false" ht="15" hidden="false" customHeight="false" outlineLevel="0" collapsed="false">
      <c r="A13" s="10" t="s">
        <v>27</v>
      </c>
      <c r="B13" s="11" t="s">
        <v>28</v>
      </c>
      <c r="C13" s="11" t="s">
        <v>29</v>
      </c>
      <c r="D13" s="11" t="s">
        <v>18</v>
      </c>
      <c r="E13" s="14" t="n">
        <v>0.14</v>
      </c>
      <c r="F13" s="14" t="n">
        <v>0.18</v>
      </c>
      <c r="G13" s="14" t="n">
        <v>0.18</v>
      </c>
      <c r="H13" s="14" t="n">
        <v>0.07</v>
      </c>
      <c r="I13" s="14" t="n">
        <v>0.16</v>
      </c>
      <c r="J13" s="14" t="n">
        <v>0.15</v>
      </c>
      <c r="K13" s="15" t="s">
        <v>19</v>
      </c>
      <c r="L13" s="11" t="s">
        <v>30</v>
      </c>
    </row>
    <row r="14" customFormat="false" ht="15" hidden="false" customHeight="false" outlineLevel="0" collapsed="false">
      <c r="A14" s="10" t="s">
        <v>27</v>
      </c>
      <c r="B14" s="11" t="s">
        <v>28</v>
      </c>
      <c r="C14" s="11" t="s">
        <v>29</v>
      </c>
      <c r="D14" s="11" t="s">
        <v>31</v>
      </c>
      <c r="E14" s="12" t="n">
        <v>52.9</v>
      </c>
      <c r="F14" s="12" t="n">
        <v>69.9</v>
      </c>
      <c r="G14" s="12" t="n">
        <v>83.4</v>
      </c>
      <c r="H14" s="12" t="n">
        <v>88.5</v>
      </c>
      <c r="I14" s="12" t="n">
        <v>109.4</v>
      </c>
      <c r="J14" s="12" t="n">
        <v>128.5</v>
      </c>
      <c r="K14" s="13" t="n">
        <f aca="false">IFERROR((J14/E14)^(1/5)-1,"N/A")</f>
        <v>0.194234164118632</v>
      </c>
      <c r="L14" s="11" t="s">
        <v>30</v>
      </c>
    </row>
    <row r="15" customFormat="false" ht="15" hidden="false" customHeight="false" outlineLevel="0" collapsed="false">
      <c r="A15" s="10" t="s">
        <v>27</v>
      </c>
      <c r="B15" s="11" t="s">
        <v>28</v>
      </c>
      <c r="C15" s="11" t="s">
        <v>29</v>
      </c>
      <c r="D15" s="11" t="s">
        <v>32</v>
      </c>
      <c r="E15" s="14" t="n">
        <v>0.37</v>
      </c>
      <c r="F15" s="14" t="n">
        <v>0.416</v>
      </c>
      <c r="G15" s="14" t="n">
        <v>0.421</v>
      </c>
      <c r="H15" s="14" t="n">
        <v>0.418</v>
      </c>
      <c r="I15" s="14" t="n">
        <v>0.446</v>
      </c>
      <c r="J15" s="14" t="n">
        <v>0.456</v>
      </c>
      <c r="K15" s="15" t="s">
        <v>19</v>
      </c>
      <c r="L15" s="11" t="s">
        <v>30</v>
      </c>
    </row>
    <row r="16" customFormat="false" ht="15" hidden="false" customHeight="false" outlineLevel="0" collapsed="false">
      <c r="A16" s="10" t="s">
        <v>27</v>
      </c>
      <c r="B16" s="11" t="s">
        <v>28</v>
      </c>
      <c r="C16" s="11" t="s">
        <v>29</v>
      </c>
      <c r="D16" s="11" t="s">
        <v>22</v>
      </c>
      <c r="E16" s="12" t="n">
        <v>44.3</v>
      </c>
      <c r="F16" s="12" t="n">
        <v>61.3</v>
      </c>
      <c r="G16" s="12" t="n">
        <v>72.7</v>
      </c>
      <c r="H16" s="12" t="n">
        <v>72.4</v>
      </c>
      <c r="I16" s="12" t="n">
        <v>88.1</v>
      </c>
      <c r="J16" s="12" t="n">
        <v>107.6</v>
      </c>
      <c r="K16" s="13" t="n">
        <f aca="false">IFERROR((J16/E16)^(1/5)-1,"N/A")</f>
        <v>0.194212764877472</v>
      </c>
      <c r="L16" s="11" t="s">
        <v>30</v>
      </c>
    </row>
    <row r="17" customFormat="false" ht="15" hidden="false" customHeight="false" outlineLevel="0" collapsed="false">
      <c r="A17" s="10" t="s">
        <v>27</v>
      </c>
      <c r="B17" s="11" t="s">
        <v>28</v>
      </c>
      <c r="C17" s="11" t="s">
        <v>29</v>
      </c>
      <c r="D17" s="11" t="s">
        <v>23</v>
      </c>
      <c r="E17" s="16" t="n">
        <v>5.76</v>
      </c>
      <c r="F17" s="16" t="n">
        <v>8.05</v>
      </c>
      <c r="G17" s="16" t="n">
        <v>9.65</v>
      </c>
      <c r="H17" s="16" t="n">
        <v>9.68</v>
      </c>
      <c r="I17" s="16" t="n">
        <v>11.8</v>
      </c>
      <c r="J17" s="16" t="n">
        <v>14.55</v>
      </c>
      <c r="K17" s="13" t="n">
        <f aca="false">IFERROR((J17/E17)^(1/5)-1,"N/A")</f>
        <v>0.203616414818587</v>
      </c>
      <c r="L17" s="11" t="s">
        <v>30</v>
      </c>
    </row>
    <row r="18" customFormat="false" ht="15" hidden="false" customHeight="false" outlineLevel="0" collapsed="false">
      <c r="A18" s="10" t="s">
        <v>27</v>
      </c>
      <c r="B18" s="11" t="s">
        <v>28</v>
      </c>
      <c r="C18" s="11" t="s">
        <v>29</v>
      </c>
      <c r="D18" s="11" t="s">
        <v>25</v>
      </c>
      <c r="E18" s="12" t="n">
        <v>60.7</v>
      </c>
      <c r="F18" s="12" t="n">
        <v>76.7</v>
      </c>
      <c r="G18" s="12" t="n">
        <v>89</v>
      </c>
      <c r="H18" s="12" t="n">
        <v>87.9</v>
      </c>
      <c r="I18" s="12" t="n">
        <v>118.5</v>
      </c>
      <c r="J18" s="12" t="n">
        <v>132</v>
      </c>
      <c r="K18" s="13" t="n">
        <f aca="false">IFERROR((J18/E18)^(1/5)-1,"N/A")</f>
        <v>0.168091995884611</v>
      </c>
      <c r="L18" s="11" t="s">
        <v>30</v>
      </c>
    </row>
    <row r="19" customFormat="false" ht="15" hidden="false" customHeight="false" outlineLevel="0" collapsed="false">
      <c r="A19" s="10" t="s">
        <v>27</v>
      </c>
      <c r="B19" s="11" t="s">
        <v>28</v>
      </c>
      <c r="C19" s="11" t="s">
        <v>29</v>
      </c>
      <c r="D19" s="11" t="s">
        <v>26</v>
      </c>
      <c r="E19" s="12" t="n">
        <v>15.4</v>
      </c>
      <c r="F19" s="12" t="n">
        <v>20.6</v>
      </c>
      <c r="G19" s="12" t="n">
        <v>23.9</v>
      </c>
      <c r="H19" s="12" t="n">
        <v>28.1</v>
      </c>
      <c r="I19" s="12" t="n">
        <v>55.7</v>
      </c>
      <c r="J19" s="12" t="n">
        <v>80</v>
      </c>
      <c r="K19" s="13" t="n">
        <f aca="false">IFERROR((J19/E19)^(1/5)-1,"N/A")</f>
        <v>0.390317064448804</v>
      </c>
      <c r="L19" s="11" t="s">
        <v>30</v>
      </c>
    </row>
    <row r="20" customFormat="false" ht="15" hidden="false" customHeight="false" outlineLevel="0" collapsed="false">
      <c r="A20" s="10" t="s">
        <v>27</v>
      </c>
      <c r="B20" s="11" t="s">
        <v>28</v>
      </c>
      <c r="C20" s="11" t="s">
        <v>29</v>
      </c>
      <c r="D20" s="11" t="s">
        <v>33</v>
      </c>
      <c r="E20" s="12" t="n">
        <v>50</v>
      </c>
      <c r="F20" s="12" t="n">
        <v>69.1</v>
      </c>
      <c r="G20" s="12" t="n">
        <v>91.2</v>
      </c>
      <c r="H20" s="12" t="n">
        <v>111.5</v>
      </c>
      <c r="I20" s="12" t="n">
        <v>135.2</v>
      </c>
      <c r="J20" s="12" t="n">
        <v>158</v>
      </c>
      <c r="K20" s="13" t="n">
        <f aca="false">IFERROR((J20/E20)^(1/5)-1,"N/A")</f>
        <v>0.258744008954774</v>
      </c>
      <c r="L20" s="11" t="s">
        <v>30</v>
      </c>
    </row>
    <row r="21" customFormat="false" ht="15" hidden="false" customHeight="false" outlineLevel="0" collapsed="false">
      <c r="A21" s="17" t="s">
        <v>34</v>
      </c>
      <c r="B21" s="18" t="s">
        <v>35</v>
      </c>
      <c r="C21" s="18" t="s">
        <v>36</v>
      </c>
      <c r="D21" s="18" t="s">
        <v>16</v>
      </c>
      <c r="E21" s="19" t="n">
        <v>82.6</v>
      </c>
      <c r="F21" s="19" t="n">
        <v>93.8</v>
      </c>
      <c r="G21" s="19" t="n">
        <v>93.8</v>
      </c>
      <c r="H21" s="19" t="n">
        <v>85.2</v>
      </c>
      <c r="I21" s="19" t="n">
        <v>88.8</v>
      </c>
      <c r="J21" s="19" t="n">
        <v>93</v>
      </c>
      <c r="K21" s="20" t="n">
        <f aca="false">IFERROR((J21/E21)^(1/5)-1,"N/A")</f>
        <v>0.0240014703707951</v>
      </c>
      <c r="L21" s="18" t="s">
        <v>30</v>
      </c>
    </row>
    <row r="22" customFormat="false" ht="15" hidden="false" customHeight="false" outlineLevel="0" collapsed="false">
      <c r="A22" s="17" t="s">
        <v>34</v>
      </c>
      <c r="B22" s="18" t="s">
        <v>35</v>
      </c>
      <c r="C22" s="18" t="s">
        <v>36</v>
      </c>
      <c r="D22" s="18" t="s">
        <v>18</v>
      </c>
      <c r="E22" s="21" t="n">
        <v>0.006</v>
      </c>
      <c r="F22" s="21" t="n">
        <v>0.136</v>
      </c>
      <c r="G22" s="21" t="n">
        <v>0</v>
      </c>
      <c r="H22" s="21" t="n">
        <v>0.065</v>
      </c>
      <c r="I22" s="21" t="n">
        <v>0.043</v>
      </c>
      <c r="J22" s="21" t="n">
        <v>0.047</v>
      </c>
      <c r="K22" s="22" t="s">
        <v>19</v>
      </c>
      <c r="L22" s="18" t="s">
        <v>30</v>
      </c>
    </row>
    <row r="23" customFormat="false" ht="15" hidden="false" customHeight="false" outlineLevel="0" collapsed="false">
      <c r="A23" s="17" t="s">
        <v>34</v>
      </c>
      <c r="B23" s="18" t="s">
        <v>35</v>
      </c>
      <c r="C23" s="18" t="s">
        <v>36</v>
      </c>
      <c r="D23" s="18" t="s">
        <v>37</v>
      </c>
      <c r="E23" s="23" t="n">
        <v>8.03</v>
      </c>
      <c r="F23" s="23" t="n">
        <v>9.8</v>
      </c>
      <c r="G23" s="23" t="n">
        <v>10.15</v>
      </c>
      <c r="H23" s="23" t="n">
        <v>9.92</v>
      </c>
      <c r="I23" s="23" t="n">
        <v>9.98</v>
      </c>
      <c r="J23" s="23" t="n">
        <v>10.85</v>
      </c>
      <c r="K23" s="20" t="n">
        <f aca="false">IFERROR((J23/E23)^(1/5)-1,"N/A")</f>
        <v>0.0620448041612161</v>
      </c>
      <c r="L23" s="18" t="s">
        <v>30</v>
      </c>
    </row>
    <row r="24" customFormat="false" ht="15" hidden="false" customHeight="false" outlineLevel="0" collapsed="false">
      <c r="A24" s="17" t="s">
        <v>34</v>
      </c>
      <c r="B24" s="18" t="s">
        <v>35</v>
      </c>
      <c r="C24" s="18" t="s">
        <v>36</v>
      </c>
      <c r="D24" s="18" t="s">
        <v>38</v>
      </c>
      <c r="E24" s="21" t="n">
        <v>-0.075</v>
      </c>
      <c r="F24" s="21" t="n">
        <v>0.22</v>
      </c>
      <c r="G24" s="21" t="n">
        <v>0.036</v>
      </c>
      <c r="H24" s="21" t="n">
        <v>-0.023</v>
      </c>
      <c r="I24" s="21" t="n">
        <v>0.006</v>
      </c>
      <c r="J24" s="21" t="n">
        <v>0.087</v>
      </c>
      <c r="K24" s="22" t="s">
        <v>19</v>
      </c>
      <c r="L24" s="18" t="s">
        <v>30</v>
      </c>
    </row>
    <row r="25" customFormat="false" ht="15" hidden="false" customHeight="false" outlineLevel="0" collapsed="false">
      <c r="A25" s="17" t="s">
        <v>34</v>
      </c>
      <c r="B25" s="18" t="s">
        <v>35</v>
      </c>
      <c r="C25" s="18" t="s">
        <v>36</v>
      </c>
      <c r="D25" s="18" t="s">
        <v>39</v>
      </c>
      <c r="E25" s="19" t="n">
        <v>12.2</v>
      </c>
      <c r="F25" s="19" t="n">
        <v>14.7</v>
      </c>
      <c r="G25" s="19" t="n">
        <v>14.6</v>
      </c>
      <c r="H25" s="19" t="n">
        <v>15.1</v>
      </c>
      <c r="I25" s="19" t="n">
        <v>16.4</v>
      </c>
      <c r="J25" s="19" t="n">
        <v>17.5</v>
      </c>
      <c r="K25" s="20" t="n">
        <f aca="false">IFERROR((J25/E25)^(1/5)-1,"N/A")</f>
        <v>0.0748197636888581</v>
      </c>
      <c r="L25" s="18" t="s">
        <v>30</v>
      </c>
    </row>
    <row r="26" customFormat="false" ht="15" hidden="false" customHeight="false" outlineLevel="0" collapsed="false">
      <c r="A26" s="17" t="s">
        <v>34</v>
      </c>
      <c r="B26" s="18" t="s">
        <v>35</v>
      </c>
      <c r="C26" s="18" t="s">
        <v>36</v>
      </c>
      <c r="D26" s="18" t="s">
        <v>40</v>
      </c>
      <c r="E26" s="21" t="n">
        <v>0.148</v>
      </c>
      <c r="F26" s="21" t="n">
        <v>0.157</v>
      </c>
      <c r="G26" s="21" t="n">
        <v>0.156</v>
      </c>
      <c r="H26" s="21" t="n">
        <v>0.177</v>
      </c>
      <c r="I26" s="21" t="n">
        <v>0.185</v>
      </c>
      <c r="J26" s="21" t="n">
        <v>0.188</v>
      </c>
      <c r="K26" s="20" t="n">
        <f aca="false">IFERROR((J26/E26)^(1/5)-1,"N/A")</f>
        <v>0.0490090302494259</v>
      </c>
      <c r="L26" s="18" t="s">
        <v>30</v>
      </c>
    </row>
    <row r="27" customFormat="false" ht="15" hidden="false" customHeight="false" outlineLevel="0" collapsed="false">
      <c r="A27" s="17" t="s">
        <v>34</v>
      </c>
      <c r="B27" s="18" t="s">
        <v>35</v>
      </c>
      <c r="C27" s="18" t="s">
        <v>36</v>
      </c>
      <c r="D27" s="18" t="s">
        <v>41</v>
      </c>
      <c r="E27" s="19" t="n">
        <v>21</v>
      </c>
      <c r="F27" s="19" t="n">
        <v>22</v>
      </c>
      <c r="G27" s="19" t="n">
        <v>17.5</v>
      </c>
      <c r="H27" s="19" t="n">
        <v>18.4</v>
      </c>
      <c r="I27" s="19" t="n">
        <v>18.4</v>
      </c>
      <c r="J27" s="19" t="n">
        <v>20</v>
      </c>
      <c r="K27" s="20" t="n">
        <f aca="false">IFERROR((J27/E27)^(1/5)-1,"N/A")</f>
        <v>-0.00971057771313766</v>
      </c>
      <c r="L27" s="18" t="s">
        <v>30</v>
      </c>
    </row>
    <row r="28" customFormat="false" ht="15" hidden="false" customHeight="false" outlineLevel="0" collapsed="false">
      <c r="A28" s="17" t="s">
        <v>34</v>
      </c>
      <c r="B28" s="18" t="s">
        <v>35</v>
      </c>
      <c r="C28" s="18" t="s">
        <v>36</v>
      </c>
      <c r="D28" s="18" t="s">
        <v>42</v>
      </c>
      <c r="E28" s="23" t="n">
        <v>4.04</v>
      </c>
      <c r="F28" s="23" t="n">
        <v>4.24</v>
      </c>
      <c r="G28" s="23" t="n">
        <v>4.45</v>
      </c>
      <c r="H28" s="23" t="n">
        <v>4.7</v>
      </c>
      <c r="I28" s="23" t="n">
        <v>4.96</v>
      </c>
      <c r="J28" s="23" t="n">
        <v>5.24</v>
      </c>
      <c r="K28" s="20" t="n">
        <f aca="false">IFERROR((J28/E28)^(1/5)-1,"N/A")</f>
        <v>0.0533919238289236</v>
      </c>
      <c r="L28" s="18" t="s">
        <v>30</v>
      </c>
    </row>
    <row r="29" customFormat="false" ht="15" hidden="false" customHeight="false" outlineLevel="0" collapsed="false">
      <c r="A29" s="3" t="s">
        <v>43</v>
      </c>
      <c r="B29" s="4" t="s">
        <v>44</v>
      </c>
      <c r="C29" s="4" t="s">
        <v>45</v>
      </c>
      <c r="D29" s="4" t="s">
        <v>46</v>
      </c>
      <c r="E29" s="5" t="n">
        <v>119.5</v>
      </c>
      <c r="F29" s="5" t="n">
        <v>121.6</v>
      </c>
      <c r="G29" s="5" t="n">
        <v>127.7</v>
      </c>
      <c r="H29" s="5" t="n">
        <v>158.1</v>
      </c>
      <c r="I29" s="5" t="n">
        <v>177.6</v>
      </c>
      <c r="J29" s="5" t="n">
        <v>183</v>
      </c>
      <c r="K29" s="6" t="n">
        <f aca="false">IFERROR((J29/E29)^(1/5)-1,"N/A")</f>
        <v>0.0889718087065927</v>
      </c>
      <c r="L29" s="4" t="s">
        <v>30</v>
      </c>
    </row>
    <row r="30" customFormat="false" ht="15" hidden="false" customHeight="false" outlineLevel="0" collapsed="false">
      <c r="A30" s="3" t="s">
        <v>43</v>
      </c>
      <c r="B30" s="4" t="s">
        <v>44</v>
      </c>
      <c r="C30" s="4" t="s">
        <v>45</v>
      </c>
      <c r="D30" s="4" t="s">
        <v>18</v>
      </c>
      <c r="E30" s="7" t="n">
        <v>-0.04</v>
      </c>
      <c r="F30" s="7" t="n">
        <v>0.02</v>
      </c>
      <c r="G30" s="7" t="n">
        <v>0.05</v>
      </c>
      <c r="H30" s="7" t="n">
        <v>0.24</v>
      </c>
      <c r="I30" s="7" t="n">
        <v>0.12</v>
      </c>
      <c r="J30" s="7" t="n">
        <v>0.03</v>
      </c>
      <c r="K30" s="8" t="s">
        <v>19</v>
      </c>
      <c r="L30" s="4" t="s">
        <v>30</v>
      </c>
    </row>
    <row r="31" customFormat="false" ht="15" hidden="false" customHeight="false" outlineLevel="0" collapsed="false">
      <c r="A31" s="3" t="s">
        <v>43</v>
      </c>
      <c r="B31" s="4" t="s">
        <v>44</v>
      </c>
      <c r="C31" s="4" t="s">
        <v>45</v>
      </c>
      <c r="D31" s="4" t="s">
        <v>22</v>
      </c>
      <c r="E31" s="5" t="n">
        <v>29.1</v>
      </c>
      <c r="F31" s="5" t="n">
        <v>48.3</v>
      </c>
      <c r="G31" s="5" t="n">
        <v>37.7</v>
      </c>
      <c r="H31" s="5" t="n">
        <v>49.6</v>
      </c>
      <c r="I31" s="5" t="n">
        <v>58.5</v>
      </c>
      <c r="J31" s="5" t="n">
        <v>52</v>
      </c>
      <c r="K31" s="6" t="n">
        <f aca="false">IFERROR((J31/E31)^(1/5)-1,"N/A")</f>
        <v>0.123109422729415</v>
      </c>
      <c r="L31" s="4" t="s">
        <v>30</v>
      </c>
    </row>
    <row r="32" customFormat="false" ht="15" hidden="false" customHeight="false" outlineLevel="0" collapsed="false">
      <c r="A32" s="3" t="s">
        <v>43</v>
      </c>
      <c r="B32" s="4" t="s">
        <v>44</v>
      </c>
      <c r="C32" s="4" t="s">
        <v>45</v>
      </c>
      <c r="D32" s="4" t="s">
        <v>23</v>
      </c>
      <c r="E32" s="9" t="n">
        <v>8.88</v>
      </c>
      <c r="F32" s="9" t="n">
        <v>15.36</v>
      </c>
      <c r="G32" s="9" t="n">
        <v>12.09</v>
      </c>
      <c r="H32" s="9" t="n">
        <v>16.23</v>
      </c>
      <c r="I32" s="9" t="n">
        <v>19.75</v>
      </c>
      <c r="J32" s="9" t="n">
        <v>18.5</v>
      </c>
      <c r="K32" s="6" t="n">
        <f aca="false">IFERROR((J32/E32)^(1/5)-1,"N/A")</f>
        <v>0.158115175619294</v>
      </c>
      <c r="L32" s="4" t="s">
        <v>30</v>
      </c>
    </row>
    <row r="33" customFormat="false" ht="15" hidden="false" customHeight="false" outlineLevel="0" collapsed="false">
      <c r="A33" s="3" t="s">
        <v>43</v>
      </c>
      <c r="B33" s="4" t="s">
        <v>44</v>
      </c>
      <c r="C33" s="4" t="s">
        <v>45</v>
      </c>
      <c r="D33" s="4" t="s">
        <v>47</v>
      </c>
      <c r="E33" s="7" t="n">
        <v>0.14</v>
      </c>
      <c r="F33" s="7" t="n">
        <v>0.23</v>
      </c>
      <c r="G33" s="7" t="n">
        <v>0.18</v>
      </c>
      <c r="H33" s="7" t="n">
        <v>0.21</v>
      </c>
      <c r="I33" s="7" t="n">
        <v>0.22</v>
      </c>
      <c r="J33" s="7" t="n">
        <v>0.19</v>
      </c>
      <c r="K33" s="8" t="s">
        <v>19</v>
      </c>
      <c r="L33" s="4" t="s">
        <v>30</v>
      </c>
    </row>
    <row r="34" customFormat="false" ht="15" hidden="false" customHeight="false" outlineLevel="0" collapsed="false">
      <c r="A34" s="3" t="s">
        <v>43</v>
      </c>
      <c r="B34" s="4" t="s">
        <v>44</v>
      </c>
      <c r="C34" s="4" t="s">
        <v>45</v>
      </c>
      <c r="D34" s="4" t="s">
        <v>48</v>
      </c>
      <c r="E34" s="7" t="n">
        <v>0.131</v>
      </c>
      <c r="F34" s="7" t="n">
        <v>0.13</v>
      </c>
      <c r="G34" s="7" t="n">
        <v>0.132</v>
      </c>
      <c r="H34" s="7" t="n">
        <v>0.15</v>
      </c>
      <c r="I34" s="7" t="n">
        <v>0.157</v>
      </c>
      <c r="J34" s="7" t="n">
        <v>0.155</v>
      </c>
      <c r="K34" s="8" t="s">
        <v>19</v>
      </c>
      <c r="L34" s="4" t="s">
        <v>30</v>
      </c>
    </row>
    <row r="35" customFormat="false" ht="15" hidden="false" customHeight="false" outlineLevel="0" collapsed="false">
      <c r="A35" s="3" t="s">
        <v>43</v>
      </c>
      <c r="B35" s="4" t="s">
        <v>44</v>
      </c>
      <c r="C35" s="4" t="s">
        <v>45</v>
      </c>
      <c r="D35" s="4" t="s">
        <v>49</v>
      </c>
      <c r="E35" s="5" t="n">
        <v>2.7</v>
      </c>
      <c r="F35" s="5" t="n">
        <v>3.1</v>
      </c>
      <c r="G35" s="5" t="n">
        <v>2.8</v>
      </c>
      <c r="H35" s="5" t="n">
        <v>3.3</v>
      </c>
      <c r="I35" s="5" t="n">
        <v>3.9</v>
      </c>
      <c r="J35" s="5" t="n">
        <v>4.2</v>
      </c>
      <c r="K35" s="6" t="n">
        <f aca="false">IFERROR((J35/E35)^(1/5)-1,"N/A")</f>
        <v>0.0923884641403729</v>
      </c>
      <c r="L35" s="4" t="s">
        <v>30</v>
      </c>
    </row>
    <row r="36" customFormat="false" ht="15" hidden="false" customHeight="false" outlineLevel="0" collapsed="false">
      <c r="A36" s="3" t="s">
        <v>43</v>
      </c>
      <c r="B36" s="4" t="s">
        <v>44</v>
      </c>
      <c r="C36" s="4" t="s">
        <v>45</v>
      </c>
      <c r="D36" s="4" t="s">
        <v>50</v>
      </c>
      <c r="E36" s="5" t="n">
        <v>54.2</v>
      </c>
      <c r="F36" s="5" t="n">
        <v>52.3</v>
      </c>
      <c r="G36" s="5" t="n">
        <v>66</v>
      </c>
      <c r="H36" s="5" t="n">
        <v>90</v>
      </c>
      <c r="I36" s="5" t="n">
        <v>94</v>
      </c>
      <c r="J36" s="5" t="n">
        <v>85</v>
      </c>
      <c r="K36" s="6" t="n">
        <f aca="false">IFERROR((J36/E36)^(1/5)-1,"N/A")</f>
        <v>0.0941677948430644</v>
      </c>
      <c r="L36" s="4" t="s">
        <v>30</v>
      </c>
    </row>
    <row r="37" customFormat="false" ht="15" hidden="false" customHeight="false" outlineLevel="0" collapsed="false">
      <c r="A37" s="24" t="s">
        <v>51</v>
      </c>
      <c r="B37" s="25" t="s">
        <v>52</v>
      </c>
      <c r="C37" s="25" t="s">
        <v>53</v>
      </c>
      <c r="D37" s="25" t="s">
        <v>16</v>
      </c>
      <c r="E37" s="26" t="n">
        <v>17</v>
      </c>
      <c r="F37" s="26" t="n">
        <v>17.1</v>
      </c>
      <c r="G37" s="26" t="n">
        <v>21</v>
      </c>
      <c r="H37" s="26" t="n">
        <v>28.1</v>
      </c>
      <c r="I37" s="26" t="n">
        <v>24.8</v>
      </c>
      <c r="J37" s="26" t="n">
        <v>27.4</v>
      </c>
      <c r="K37" s="27" t="n">
        <f aca="false">IFERROR((J37/E37)^(1/5)-1,"N/A")</f>
        <v>0.100171342812884</v>
      </c>
      <c r="L37" s="25" t="s">
        <v>30</v>
      </c>
    </row>
    <row r="38" customFormat="false" ht="15" hidden="false" customHeight="false" outlineLevel="0" collapsed="false">
      <c r="A38" s="24" t="s">
        <v>51</v>
      </c>
      <c r="B38" s="25" t="s">
        <v>52</v>
      </c>
      <c r="C38" s="25" t="s">
        <v>53</v>
      </c>
      <c r="D38" s="25" t="s">
        <v>37</v>
      </c>
      <c r="E38" s="28" t="n">
        <v>2.4</v>
      </c>
      <c r="F38" s="28" t="n">
        <v>2.57</v>
      </c>
      <c r="G38" s="28" t="n">
        <v>2.9</v>
      </c>
      <c r="H38" s="28" t="n">
        <v>3.17</v>
      </c>
      <c r="I38" s="28" t="n">
        <v>3.43</v>
      </c>
      <c r="J38" s="28" t="n">
        <v>3.71</v>
      </c>
      <c r="K38" s="27" t="n">
        <f aca="false">IFERROR((J38/E38)^(1/5)-1,"N/A")</f>
        <v>0.0910195519885462</v>
      </c>
      <c r="L38" s="25" t="s">
        <v>30</v>
      </c>
    </row>
    <row r="39" customFormat="false" ht="15" hidden="false" customHeight="false" outlineLevel="0" collapsed="false">
      <c r="A39" s="24" t="s">
        <v>51</v>
      </c>
      <c r="B39" s="25" t="s">
        <v>52</v>
      </c>
      <c r="C39" s="25" t="s">
        <v>53</v>
      </c>
      <c r="D39" s="25" t="s">
        <v>38</v>
      </c>
      <c r="E39" s="29" t="n">
        <v>0.1</v>
      </c>
      <c r="F39" s="29" t="n">
        <v>0.07</v>
      </c>
      <c r="G39" s="29" t="n">
        <v>0.13</v>
      </c>
      <c r="H39" s="29" t="n">
        <v>0.093</v>
      </c>
      <c r="I39" s="29" t="n">
        <v>0.082</v>
      </c>
      <c r="J39" s="29" t="n">
        <v>0.082</v>
      </c>
      <c r="K39" s="30" t="s">
        <v>19</v>
      </c>
      <c r="L39" s="25" t="s">
        <v>30</v>
      </c>
    </row>
    <row r="40" customFormat="false" ht="15" hidden="false" customHeight="false" outlineLevel="0" collapsed="false">
      <c r="A40" s="24" t="s">
        <v>51</v>
      </c>
      <c r="B40" s="25" t="s">
        <v>52</v>
      </c>
      <c r="C40" s="25" t="s">
        <v>53</v>
      </c>
      <c r="D40" s="25" t="s">
        <v>54</v>
      </c>
      <c r="E40" s="26" t="n">
        <v>6.5</v>
      </c>
      <c r="F40" s="26" t="n">
        <v>7</v>
      </c>
      <c r="G40" s="26" t="n">
        <v>8</v>
      </c>
      <c r="H40" s="26" t="n">
        <v>9.4</v>
      </c>
      <c r="I40" s="26" t="n">
        <v>9</v>
      </c>
      <c r="J40" s="26" t="n">
        <v>9.8</v>
      </c>
      <c r="K40" s="27" t="n">
        <f aca="false">IFERROR((J40/E40)^(1/5)-1,"N/A")</f>
        <v>0.0855817753351704</v>
      </c>
      <c r="L40" s="25" t="s">
        <v>30</v>
      </c>
    </row>
    <row r="41" customFormat="false" ht="15" hidden="false" customHeight="false" outlineLevel="0" collapsed="false">
      <c r="A41" s="24" t="s">
        <v>51</v>
      </c>
      <c r="B41" s="25" t="s">
        <v>52</v>
      </c>
      <c r="C41" s="25" t="s">
        <v>53</v>
      </c>
      <c r="D41" s="25" t="s">
        <v>55</v>
      </c>
      <c r="E41" s="31" t="n">
        <v>15</v>
      </c>
      <c r="F41" s="31" t="n">
        <v>19</v>
      </c>
      <c r="G41" s="31" t="n">
        <v>19</v>
      </c>
      <c r="H41" s="31" t="n">
        <v>20</v>
      </c>
      <c r="I41" s="31" t="n">
        <v>24</v>
      </c>
      <c r="J41" s="31" t="n">
        <v>30</v>
      </c>
      <c r="K41" s="27" t="n">
        <f aca="false">IFERROR((J41/E41)^(1/5)-1,"N/A")</f>
        <v>0.148698354997035</v>
      </c>
      <c r="L41" s="25" t="s">
        <v>30</v>
      </c>
    </row>
    <row r="42" customFormat="false" ht="15" hidden="false" customHeight="false" outlineLevel="0" collapsed="false">
      <c r="A42" s="24" t="s">
        <v>51</v>
      </c>
      <c r="B42" s="25" t="s">
        <v>52</v>
      </c>
      <c r="C42" s="25" t="s">
        <v>53</v>
      </c>
      <c r="D42" s="25" t="s">
        <v>56</v>
      </c>
      <c r="E42" s="31" t="n">
        <v>4.8</v>
      </c>
      <c r="F42" s="31" t="n">
        <v>6.4</v>
      </c>
      <c r="G42" s="31" t="n">
        <v>5.6</v>
      </c>
      <c r="H42" s="31" t="n">
        <v>9</v>
      </c>
      <c r="I42" s="31" t="n">
        <v>12</v>
      </c>
      <c r="J42" s="31" t="n">
        <v>13.5</v>
      </c>
      <c r="K42" s="27" t="n">
        <f aca="false">IFERROR((J42/E42)^(1/5)-1,"N/A")</f>
        <v>0.229754742924682</v>
      </c>
      <c r="L42" s="25" t="s">
        <v>30</v>
      </c>
    </row>
    <row r="43" customFormat="false" ht="15" hidden="false" customHeight="false" outlineLevel="0" collapsed="false">
      <c r="A43" s="24" t="s">
        <v>51</v>
      </c>
      <c r="B43" s="25" t="s">
        <v>52</v>
      </c>
      <c r="C43" s="25" t="s">
        <v>53</v>
      </c>
      <c r="D43" s="25" t="s">
        <v>42</v>
      </c>
      <c r="E43" s="28" t="n">
        <v>1.4</v>
      </c>
      <c r="F43" s="28" t="n">
        <v>1.54</v>
      </c>
      <c r="G43" s="28" t="n">
        <v>1.7</v>
      </c>
      <c r="H43" s="28" t="n">
        <v>1.87</v>
      </c>
      <c r="I43" s="28" t="n">
        <v>2.06</v>
      </c>
      <c r="J43" s="28" t="n">
        <v>2.26</v>
      </c>
      <c r="K43" s="27" t="n">
        <f aca="false">IFERROR((J43/E43)^(1/5)-1,"N/A")</f>
        <v>0.100515289735925</v>
      </c>
      <c r="L43" s="25" t="s">
        <v>30</v>
      </c>
    </row>
    <row r="44" customFormat="false" ht="15" hidden="false" customHeight="false" outlineLevel="0" collapsed="false">
      <c r="A44" s="24" t="s">
        <v>51</v>
      </c>
      <c r="B44" s="25" t="s">
        <v>52</v>
      </c>
      <c r="C44" s="25" t="s">
        <v>53</v>
      </c>
      <c r="D44" s="25" t="s">
        <v>57</v>
      </c>
      <c r="E44" s="29" t="n">
        <v>0.1</v>
      </c>
      <c r="F44" s="29" t="n">
        <v>0.1</v>
      </c>
      <c r="G44" s="29" t="n">
        <v>0.104</v>
      </c>
      <c r="H44" s="29" t="n">
        <v>0.1</v>
      </c>
      <c r="I44" s="29" t="n">
        <v>0.102</v>
      </c>
      <c r="J44" s="29" t="n">
        <v>0.097</v>
      </c>
      <c r="K44" s="30" t="s">
        <v>19</v>
      </c>
      <c r="L44" s="25" t="s">
        <v>30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21.75" hidden="false" customHeight="true" outlineLevel="0" collapsed="false">
      <c r="A1" s="32" t="s">
        <v>58</v>
      </c>
      <c r="B1" s="32"/>
      <c r="C1" s="32"/>
      <c r="D1" s="32"/>
      <c r="E1" s="32"/>
      <c r="F1" s="32"/>
      <c r="G1" s="32"/>
      <c r="H1" s="32"/>
      <c r="I1" s="32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</row>
    <row r="3" customFormat="false" ht="15" hidden="false" customHeight="false" outlineLevel="0" collapsed="false">
      <c r="A3" s="3" t="s">
        <v>13</v>
      </c>
      <c r="B3" s="4" t="s">
        <v>14</v>
      </c>
      <c r="C3" s="33" t="s">
        <v>15</v>
      </c>
      <c r="D3" s="33" t="s">
        <v>66</v>
      </c>
      <c r="E3" s="9" t="n">
        <v>0.069</v>
      </c>
      <c r="F3" s="7" t="n">
        <v>0.114</v>
      </c>
      <c r="G3" s="5" t="n">
        <v>6.37</v>
      </c>
      <c r="H3" s="7" t="n">
        <v>0.155</v>
      </c>
      <c r="I3" s="34" t="n">
        <v>6.8</v>
      </c>
      <c r="J3" s="35"/>
    </row>
    <row r="4" customFormat="false" ht="15" hidden="false" customHeight="false" outlineLevel="0" collapsed="false">
      <c r="A4" s="10" t="s">
        <v>27</v>
      </c>
      <c r="B4" s="11" t="s">
        <v>28</v>
      </c>
      <c r="C4" s="36" t="s">
        <v>29</v>
      </c>
      <c r="D4" s="36" t="s">
        <v>67</v>
      </c>
      <c r="E4" s="16" t="n">
        <v>14.55</v>
      </c>
      <c r="F4" s="14" t="n">
        <v>0.233</v>
      </c>
      <c r="G4" s="12" t="n">
        <v>281.7</v>
      </c>
      <c r="H4" s="14" t="n">
        <v>0.204</v>
      </c>
      <c r="I4" s="37" t="n">
        <v>3100</v>
      </c>
      <c r="J4" s="38" t="n">
        <v>29</v>
      </c>
    </row>
    <row r="5" customFormat="false" ht="15" hidden="false" customHeight="false" outlineLevel="0" collapsed="false">
      <c r="A5" s="17" t="s">
        <v>34</v>
      </c>
      <c r="B5" s="18" t="s">
        <v>35</v>
      </c>
      <c r="C5" s="39" t="s">
        <v>36</v>
      </c>
      <c r="D5" s="39" t="s">
        <v>68</v>
      </c>
      <c r="E5" s="23" t="n">
        <v>10.85</v>
      </c>
      <c r="F5" s="21" t="n">
        <v>0.087</v>
      </c>
      <c r="G5" s="19" t="n">
        <v>93</v>
      </c>
      <c r="H5" s="21" t="n">
        <v>0.062</v>
      </c>
      <c r="I5" s="40" t="n">
        <v>394</v>
      </c>
      <c r="J5" s="41" t="n">
        <v>15.5</v>
      </c>
    </row>
    <row r="6" customFormat="false" ht="15" hidden="false" customHeight="false" outlineLevel="0" collapsed="false">
      <c r="A6" s="3" t="s">
        <v>43</v>
      </c>
      <c r="B6" s="4" t="s">
        <v>44</v>
      </c>
      <c r="C6" s="33" t="s">
        <v>45</v>
      </c>
      <c r="D6" s="33" t="s">
        <v>69</v>
      </c>
      <c r="E6" s="7" t="n">
        <v>0.22</v>
      </c>
      <c r="F6" s="7" t="n">
        <v>0.048</v>
      </c>
      <c r="G6" s="5" t="n">
        <v>183</v>
      </c>
      <c r="H6" s="7"/>
      <c r="I6" s="34" t="n">
        <v>750</v>
      </c>
      <c r="J6" s="35" t="n">
        <v>13.5</v>
      </c>
    </row>
    <row r="7" customFormat="false" ht="15" hidden="false" customHeight="false" outlineLevel="0" collapsed="false">
      <c r="A7" s="24" t="s">
        <v>51</v>
      </c>
      <c r="B7" s="25" t="s">
        <v>52</v>
      </c>
      <c r="C7" s="42" t="s">
        <v>53</v>
      </c>
      <c r="D7" s="42" t="s">
        <v>68</v>
      </c>
      <c r="E7" s="28" t="n">
        <v>3.71</v>
      </c>
      <c r="F7" s="29" t="n">
        <v>0.082</v>
      </c>
      <c r="G7" s="26" t="n">
        <v>27.4</v>
      </c>
      <c r="H7" s="29" t="n">
        <v>0.091</v>
      </c>
      <c r="I7" s="43" t="n">
        <v>95</v>
      </c>
      <c r="J7" s="44" t="n">
        <v>23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2"/>
  </cols>
  <sheetData>
    <row r="1" customFormat="false" ht="15" hidden="false" customHeight="false" outlineLevel="0" collapsed="false">
      <c r="A1" s="32" t="s">
        <v>70</v>
      </c>
      <c r="B1" s="32"/>
      <c r="C1" s="32"/>
      <c r="D1" s="32"/>
      <c r="E1" s="32"/>
      <c r="F1" s="32"/>
      <c r="G1" s="32"/>
    </row>
    <row r="2" customFormat="false" ht="15" hidden="false" customHeight="false" outlineLevel="0" collapsed="false">
      <c r="A2" s="2" t="s">
        <v>71</v>
      </c>
      <c r="B2" s="2" t="s">
        <v>72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77</v>
      </c>
    </row>
    <row r="3" customFormat="false" ht="15" hidden="false" customHeight="false" outlineLevel="0" collapsed="false">
      <c r="A3" s="8" t="s">
        <v>5</v>
      </c>
      <c r="B3" s="5" t="n">
        <v>3.5</v>
      </c>
      <c r="C3" s="5" t="n">
        <v>143</v>
      </c>
      <c r="D3" s="5" t="n">
        <v>82.6</v>
      </c>
      <c r="E3" s="5" t="n">
        <v>119.5</v>
      </c>
      <c r="F3" s="5" t="n">
        <v>17</v>
      </c>
      <c r="G3" s="4" t="s">
        <v>78</v>
      </c>
    </row>
    <row r="4" customFormat="false" ht="15" hidden="false" customHeight="false" outlineLevel="0" collapsed="false">
      <c r="A4" s="15" t="s">
        <v>6</v>
      </c>
      <c r="B4" s="12" t="n">
        <v>3.5</v>
      </c>
      <c r="C4" s="12" t="n">
        <v>168.1</v>
      </c>
      <c r="D4" s="12" t="n">
        <v>93.8</v>
      </c>
      <c r="E4" s="12" t="n">
        <v>121.6</v>
      </c>
      <c r="F4" s="12" t="n">
        <v>17.1</v>
      </c>
      <c r="G4" s="11" t="s">
        <v>79</v>
      </c>
    </row>
    <row r="5" customFormat="false" ht="15" hidden="false" customHeight="false" outlineLevel="0" collapsed="false">
      <c r="A5" s="8" t="s">
        <v>7</v>
      </c>
      <c r="B5" s="5" t="n">
        <v>4.42</v>
      </c>
      <c r="C5" s="5" t="n">
        <v>198.3</v>
      </c>
      <c r="D5" s="5" t="n">
        <v>93.8</v>
      </c>
      <c r="E5" s="5" t="n">
        <v>127.7</v>
      </c>
      <c r="F5" s="5" t="n">
        <v>21</v>
      </c>
      <c r="G5" s="4" t="s">
        <v>80</v>
      </c>
    </row>
    <row r="6" customFormat="false" ht="15" hidden="false" customHeight="false" outlineLevel="0" collapsed="false">
      <c r="A6" s="15" t="s">
        <v>8</v>
      </c>
      <c r="B6" s="12" t="n">
        <v>5.72</v>
      </c>
      <c r="C6" s="12" t="n">
        <v>211.9</v>
      </c>
      <c r="D6" s="12" t="n">
        <v>85.2</v>
      </c>
      <c r="E6" s="12" t="n">
        <v>158.1</v>
      </c>
      <c r="F6" s="12" t="n">
        <v>28.1</v>
      </c>
      <c r="G6" s="11" t="s">
        <v>81</v>
      </c>
    </row>
    <row r="7" customFormat="false" ht="15" hidden="false" customHeight="false" outlineLevel="0" collapsed="false">
      <c r="A7" s="8" t="s">
        <v>9</v>
      </c>
      <c r="B7" s="5" t="n">
        <v>6.37</v>
      </c>
      <c r="C7" s="5" t="n">
        <v>245.1</v>
      </c>
      <c r="D7" s="5" t="n">
        <v>88.8</v>
      </c>
      <c r="E7" s="5" t="n">
        <v>177.6</v>
      </c>
      <c r="F7" s="5" t="n">
        <v>24.8</v>
      </c>
      <c r="G7" s="4" t="s">
        <v>82</v>
      </c>
    </row>
    <row r="8" customFormat="false" ht="15" hidden="false" customHeight="false" outlineLevel="0" collapsed="false">
      <c r="A8" s="15" t="s">
        <v>10</v>
      </c>
      <c r="B8" s="12" t="n">
        <v>6.9</v>
      </c>
      <c r="C8" s="12" t="n">
        <v>281.7</v>
      </c>
      <c r="D8" s="12" t="n">
        <v>93</v>
      </c>
      <c r="E8" s="12" t="n">
        <v>183</v>
      </c>
      <c r="F8" s="12" t="n">
        <v>27.4</v>
      </c>
      <c r="G8" s="11" t="s">
        <v>83</v>
      </c>
    </row>
    <row r="9" customFormat="false" ht="15" hidden="false" customHeight="false" outlineLevel="0" collapsed="false">
      <c r="A9" s="45" t="s">
        <v>84</v>
      </c>
      <c r="B9" s="46" t="str">
        <f aca="false">IFERROR((G3/C3)-1,"N/A")</f>
        <v>N/A</v>
      </c>
      <c r="C9" s="46" t="str">
        <f aca="false">IFERROR((G4/C4)-1,"N/A")</f>
        <v>N/A</v>
      </c>
      <c r="D9" s="46" t="str">
        <f aca="false">IFERROR((G5/C5)-1,"N/A")</f>
        <v>N/A</v>
      </c>
      <c r="E9" s="46" t="str">
        <f aca="false">IFERROR((G6/C6)-1,"N/A")</f>
        <v>N/A</v>
      </c>
      <c r="F9" s="46" t="str">
        <f aca="false">IFERROR((G7/C7)-1,"N/A")</f>
        <v>N/A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32"/>
  </cols>
  <sheetData>
    <row r="1" customFormat="false" ht="15" hidden="false" customHeight="false" outlineLevel="0" collapsed="false">
      <c r="A1" s="32" t="s">
        <v>85</v>
      </c>
      <c r="B1" s="32"/>
      <c r="C1" s="32"/>
      <c r="D1" s="32"/>
      <c r="E1" s="32"/>
      <c r="F1" s="32"/>
      <c r="G1" s="32"/>
    </row>
    <row r="2" customFormat="false" ht="15" hidden="false" customHeight="false" outlineLevel="0" collapsed="false">
      <c r="A2" s="2" t="s">
        <v>71</v>
      </c>
      <c r="B2" s="2" t="s">
        <v>86</v>
      </c>
      <c r="C2" s="2" t="s">
        <v>87</v>
      </c>
      <c r="D2" s="2" t="s">
        <v>88</v>
      </c>
      <c r="E2" s="2" t="s">
        <v>89</v>
      </c>
      <c r="F2" s="2" t="s">
        <v>90</v>
      </c>
      <c r="G2" s="2" t="s">
        <v>77</v>
      </c>
    </row>
    <row r="3" customFormat="false" ht="15" hidden="false" customHeight="false" outlineLevel="0" collapsed="false">
      <c r="A3" s="8" t="s">
        <v>5</v>
      </c>
      <c r="B3" s="9" t="n">
        <v>2.16</v>
      </c>
      <c r="C3" s="9" t="n">
        <v>5.76</v>
      </c>
      <c r="D3" s="9" t="n">
        <v>8.03</v>
      </c>
      <c r="E3" s="9" t="n">
        <v>8.88</v>
      </c>
      <c r="F3" s="9" t="n">
        <v>2.4</v>
      </c>
      <c r="G3" s="4" t="s">
        <v>91</v>
      </c>
    </row>
    <row r="4" customFormat="false" ht="15" hidden="false" customHeight="false" outlineLevel="0" collapsed="false">
      <c r="A4" s="15" t="s">
        <v>6</v>
      </c>
      <c r="B4" s="16" t="n">
        <v>2.17</v>
      </c>
      <c r="C4" s="16" t="n">
        <v>8.05</v>
      </c>
      <c r="D4" s="16" t="n">
        <v>9.8</v>
      </c>
      <c r="E4" s="16" t="n">
        <v>15.36</v>
      </c>
      <c r="F4" s="16" t="n">
        <v>2.57</v>
      </c>
      <c r="G4" s="11" t="s">
        <v>92</v>
      </c>
    </row>
    <row r="5" customFormat="false" ht="15" hidden="false" customHeight="false" outlineLevel="0" collapsed="false">
      <c r="A5" s="8" t="s">
        <v>7</v>
      </c>
      <c r="B5" s="9" t="n">
        <v>2.47</v>
      </c>
      <c r="C5" s="9" t="n">
        <v>9.65</v>
      </c>
      <c r="D5" s="9" t="n">
        <v>10.15</v>
      </c>
      <c r="E5" s="9" t="n">
        <v>12.09</v>
      </c>
      <c r="F5" s="9" t="n">
        <v>2.9</v>
      </c>
      <c r="G5" s="4" t="s">
        <v>93</v>
      </c>
    </row>
    <row r="6" customFormat="false" ht="15" hidden="false" customHeight="false" outlineLevel="0" collapsed="false">
      <c r="A6" s="15" t="s">
        <v>8</v>
      </c>
      <c r="B6" s="16" t="n">
        <v>2.33</v>
      </c>
      <c r="C6" s="16" t="n">
        <v>9.68</v>
      </c>
      <c r="D6" s="16" t="n">
        <v>9.92</v>
      </c>
      <c r="E6" s="16" t="n">
        <v>16.23</v>
      </c>
      <c r="F6" s="16" t="n">
        <v>3.17</v>
      </c>
      <c r="G6" s="11" t="s">
        <v>94</v>
      </c>
    </row>
    <row r="7" customFormat="false" ht="15" hidden="false" customHeight="false" outlineLevel="0" collapsed="false">
      <c r="A7" s="8" t="s">
        <v>9</v>
      </c>
      <c r="B7" s="9" t="n">
        <v>3.31</v>
      </c>
      <c r="C7" s="9" t="n">
        <v>11.8</v>
      </c>
      <c r="D7" s="9" t="n">
        <v>9.98</v>
      </c>
      <c r="E7" s="9" t="n">
        <v>19.75</v>
      </c>
      <c r="F7" s="9" t="n">
        <v>3.43</v>
      </c>
      <c r="G7" s="4" t="s">
        <v>95</v>
      </c>
    </row>
    <row r="8" customFormat="false" ht="15" hidden="false" customHeight="false" outlineLevel="0" collapsed="false">
      <c r="A8" s="15" t="s">
        <v>10</v>
      </c>
      <c r="B8" s="16" t="n">
        <v>3.75</v>
      </c>
      <c r="C8" s="16" t="n">
        <v>14.55</v>
      </c>
      <c r="D8" s="16" t="n">
        <v>10.85</v>
      </c>
      <c r="E8" s="16" t="n">
        <v>18.5</v>
      </c>
      <c r="F8" s="16" t="n">
        <v>3.71</v>
      </c>
      <c r="G8" s="11" t="s">
        <v>96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52"/>
  </cols>
  <sheetData>
    <row r="1" customFormat="false" ht="15" hidden="false" customHeight="false" outlineLevel="0" collapsed="false">
      <c r="A1" s="32" t="s">
        <v>97</v>
      </c>
      <c r="B1" s="32"/>
      <c r="C1" s="32"/>
      <c r="D1" s="32"/>
      <c r="E1" s="32"/>
      <c r="F1" s="32"/>
    </row>
    <row r="2" customFormat="false" ht="15" hidden="false" customHeight="false" outlineLevel="0" collapsed="false">
      <c r="A2" s="2" t="s">
        <v>1</v>
      </c>
      <c r="B2" s="2" t="s">
        <v>98</v>
      </c>
      <c r="C2" s="2" t="s">
        <v>99</v>
      </c>
      <c r="D2" s="2" t="s">
        <v>100</v>
      </c>
      <c r="E2" s="2" t="s">
        <v>101</v>
      </c>
      <c r="F2" s="2" t="s">
        <v>102</v>
      </c>
    </row>
    <row r="3" customFormat="false" ht="15" hidden="false" customHeight="false" outlineLevel="0" collapsed="false">
      <c r="A3" s="3" t="s">
        <v>13</v>
      </c>
      <c r="B3" s="5" t="n">
        <v>3.5</v>
      </c>
      <c r="C3" s="5" t="n">
        <v>2.87</v>
      </c>
      <c r="D3" s="5" t="n">
        <v>6.37</v>
      </c>
      <c r="E3" s="47" t="n">
        <f aca="false">IFERROR((D3/B3)^(1/4)-1,"")</f>
        <v>0.161496343654686</v>
      </c>
      <c r="F3" s="4" t="s">
        <v>103</v>
      </c>
    </row>
    <row r="4" customFormat="false" ht="15" hidden="false" customHeight="false" outlineLevel="0" collapsed="false">
      <c r="A4" s="10" t="s">
        <v>27</v>
      </c>
      <c r="B4" s="12" t="n">
        <v>143</v>
      </c>
      <c r="C4" s="12" t="n">
        <v>102.1</v>
      </c>
      <c r="D4" s="12" t="n">
        <v>245.1</v>
      </c>
      <c r="E4" s="48" t="n">
        <f aca="false">IFERROR((D4/B4)^(1/4)-1,"")</f>
        <v>0.144199670717879</v>
      </c>
      <c r="F4" s="11" t="s">
        <v>104</v>
      </c>
    </row>
    <row r="5" customFormat="false" ht="15" hidden="false" customHeight="false" outlineLevel="0" collapsed="false">
      <c r="A5" s="17" t="s">
        <v>34</v>
      </c>
      <c r="B5" s="19" t="n">
        <v>82.6</v>
      </c>
      <c r="C5" s="19" t="n">
        <v>6.2</v>
      </c>
      <c r="D5" s="19" t="n">
        <v>88.8</v>
      </c>
      <c r="E5" s="49" t="n">
        <f aca="false">IFERROR((D5/B5)^(1/4)-1,"")</f>
        <v>0.0182589350011053</v>
      </c>
      <c r="F5" s="18" t="s">
        <v>105</v>
      </c>
    </row>
    <row r="6" customFormat="false" ht="15" hidden="false" customHeight="false" outlineLevel="0" collapsed="false">
      <c r="A6" s="3" t="s">
        <v>43</v>
      </c>
      <c r="B6" s="5" t="n">
        <v>119.5</v>
      </c>
      <c r="C6" s="5" t="n">
        <v>58.1</v>
      </c>
      <c r="D6" s="5" t="n">
        <v>177.6</v>
      </c>
      <c r="E6" s="47" t="n">
        <f aca="false">IFERROR((D6/B6)^(1/4)-1,"")</f>
        <v>0.1041263235303</v>
      </c>
      <c r="F6" s="4" t="s">
        <v>106</v>
      </c>
    </row>
    <row r="7" customFormat="false" ht="15" hidden="false" customHeight="false" outlineLevel="0" collapsed="false">
      <c r="A7" s="24" t="s">
        <v>51</v>
      </c>
      <c r="B7" s="26" t="n">
        <v>17</v>
      </c>
      <c r="C7" s="26" t="n">
        <v>7.8</v>
      </c>
      <c r="D7" s="26" t="n">
        <v>24.8</v>
      </c>
      <c r="E7" s="50" t="n">
        <f aca="false">IFERROR((D7/B7)^(1/4)-1,"")</f>
        <v>0.0990075851672341</v>
      </c>
      <c r="F7" s="25" t="s">
        <v>107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9" min="3" style="0" width="14"/>
  </cols>
  <sheetData>
    <row r="1" customFormat="false" ht="15" hidden="false" customHeight="false" outlineLevel="0" collapsed="false">
      <c r="A1" s="32" t="s">
        <v>108</v>
      </c>
      <c r="B1" s="32"/>
      <c r="C1" s="32"/>
      <c r="D1" s="32"/>
      <c r="E1" s="32"/>
      <c r="F1" s="32"/>
      <c r="G1" s="32"/>
      <c r="H1" s="32"/>
      <c r="I1" s="32"/>
    </row>
    <row r="2" customFormat="false" ht="15" hidden="false" customHeight="false" outlineLevel="0" collapsed="false">
      <c r="A2" s="2" t="s">
        <v>1</v>
      </c>
      <c r="B2" s="2" t="s">
        <v>3</v>
      </c>
      <c r="C2" s="2" t="s">
        <v>109</v>
      </c>
      <c r="D2" s="2" t="s">
        <v>110</v>
      </c>
      <c r="E2" s="2" t="s">
        <v>111</v>
      </c>
      <c r="F2" s="2" t="s">
        <v>112</v>
      </c>
      <c r="G2" s="2" t="s">
        <v>113</v>
      </c>
      <c r="H2" s="2" t="s">
        <v>114</v>
      </c>
      <c r="I2" s="2" t="s">
        <v>115</v>
      </c>
    </row>
    <row r="3" customFormat="false" ht="15" hidden="false" customHeight="false" outlineLevel="0" collapsed="false">
      <c r="A3" s="3" t="s">
        <v>13</v>
      </c>
      <c r="B3" s="4" t="s">
        <v>15</v>
      </c>
      <c r="C3" s="9" t="n">
        <v>3.31</v>
      </c>
      <c r="D3" s="51" t="n">
        <v>0.05</v>
      </c>
      <c r="E3" s="52" t="n">
        <f aca="false">C3*(1+D3)^3</f>
        <v>3.83173875</v>
      </c>
      <c r="F3" s="51" t="n">
        <v>0.1</v>
      </c>
      <c r="G3" s="52" t="n">
        <f aca="false">C3*(1+F3)^3</f>
        <v>4.40561</v>
      </c>
      <c r="H3" s="51" t="n">
        <v>0.15</v>
      </c>
      <c r="I3" s="52" t="n">
        <f aca="false">C3*(1+H3)^3</f>
        <v>5.03409625</v>
      </c>
    </row>
    <row r="4" customFormat="false" ht="15" hidden="false" customHeight="false" outlineLevel="0" collapsed="false">
      <c r="A4" s="10" t="s">
        <v>27</v>
      </c>
      <c r="B4" s="11" t="s">
        <v>29</v>
      </c>
      <c r="C4" s="16" t="n">
        <v>11.8</v>
      </c>
      <c r="D4" s="53" t="n">
        <v>0.08</v>
      </c>
      <c r="E4" s="54" t="n">
        <f aca="false">C4*(1+D4)^3</f>
        <v>14.8646016</v>
      </c>
      <c r="F4" s="53" t="n">
        <v>0.14</v>
      </c>
      <c r="G4" s="54" t="n">
        <f aca="false">C4*(1+F4)^3</f>
        <v>17.4822192</v>
      </c>
      <c r="H4" s="53" t="n">
        <v>0.2</v>
      </c>
      <c r="I4" s="54" t="n">
        <f aca="false">C4*(1+H4)^3</f>
        <v>20.3904</v>
      </c>
    </row>
    <row r="5" customFormat="false" ht="15" hidden="false" customHeight="false" outlineLevel="0" collapsed="false">
      <c r="A5" s="17" t="s">
        <v>34</v>
      </c>
      <c r="B5" s="18" t="s">
        <v>36</v>
      </c>
      <c r="C5" s="23" t="n">
        <v>9.98</v>
      </c>
      <c r="D5" s="55" t="n">
        <v>0.03</v>
      </c>
      <c r="E5" s="56" t="n">
        <f aca="false">C5*(1+D5)^3</f>
        <v>10.90541546</v>
      </c>
      <c r="F5" s="55" t="n">
        <v>0.06</v>
      </c>
      <c r="G5" s="56" t="n">
        <f aca="false">C5*(1+F5)^3</f>
        <v>11.88633968</v>
      </c>
      <c r="H5" s="55" t="n">
        <v>0.09</v>
      </c>
      <c r="I5" s="56" t="n">
        <f aca="false">C5*(1+H5)^3</f>
        <v>12.92438942</v>
      </c>
    </row>
    <row r="6" customFormat="false" ht="15" hidden="false" customHeight="false" outlineLevel="0" collapsed="false">
      <c r="A6" s="3" t="s">
        <v>43</v>
      </c>
      <c r="B6" s="4" t="s">
        <v>116</v>
      </c>
      <c r="C6" s="9" t="n">
        <v>19.75</v>
      </c>
      <c r="D6" s="51" t="n">
        <v>0</v>
      </c>
      <c r="E6" s="52" t="n">
        <f aca="false">C6*(1+D6)^3</f>
        <v>19.75</v>
      </c>
      <c r="F6" s="51" t="n">
        <v>0.04</v>
      </c>
      <c r="G6" s="52" t="n">
        <f aca="false">C6*(1+F6)^3</f>
        <v>22.216064</v>
      </c>
      <c r="H6" s="51" t="n">
        <v>0.09</v>
      </c>
      <c r="I6" s="52" t="n">
        <f aca="false">C6*(1+H6)^3</f>
        <v>25.57682275</v>
      </c>
    </row>
    <row r="7" customFormat="false" ht="15" hidden="false" customHeight="false" outlineLevel="0" collapsed="false">
      <c r="A7" s="24" t="s">
        <v>51</v>
      </c>
      <c r="B7" s="25" t="s">
        <v>53</v>
      </c>
      <c r="C7" s="28" t="n">
        <v>3.43</v>
      </c>
      <c r="D7" s="57" t="n">
        <v>0.05</v>
      </c>
      <c r="E7" s="58" t="n">
        <f aca="false">C7*(1+D7)^3</f>
        <v>3.97065375</v>
      </c>
      <c r="F7" s="57" t="n">
        <v>0.08</v>
      </c>
      <c r="G7" s="58" t="n">
        <f aca="false">C7*(1+F7)^3</f>
        <v>4.32081216</v>
      </c>
      <c r="H7" s="57" t="n">
        <v>0.12</v>
      </c>
      <c r="I7" s="58" t="n">
        <f aca="false">C7*(1+H7)^3</f>
        <v>4.81890304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117</v>
      </c>
      <c r="B1" s="1"/>
      <c r="C1" s="1"/>
    </row>
    <row r="2" customFormat="false" ht="15" hidden="false" customHeight="false" outlineLevel="0" collapsed="false">
      <c r="A2" s="45" t="s">
        <v>118</v>
      </c>
      <c r="B2" s="59"/>
      <c r="C2" s="60"/>
    </row>
    <row r="3" customFormat="false" ht="15" hidden="false" customHeight="false" outlineLevel="0" collapsed="false">
      <c r="A3" s="45"/>
      <c r="B3" s="59"/>
      <c r="C3" s="60"/>
    </row>
    <row r="4" customFormat="false" ht="15" hidden="false" customHeight="false" outlineLevel="0" collapsed="false">
      <c r="A4" s="45" t="s">
        <v>119</v>
      </c>
      <c r="B4" s="59" t="s">
        <v>120</v>
      </c>
      <c r="C4" s="60" t="s">
        <v>121</v>
      </c>
    </row>
    <row r="5" customFormat="false" ht="15" hidden="false" customHeight="false" outlineLevel="0" collapsed="false">
      <c r="A5" s="45" t="s">
        <v>122</v>
      </c>
      <c r="B5" s="59" t="s">
        <v>123</v>
      </c>
      <c r="C5" s="60" t="s">
        <v>124</v>
      </c>
    </row>
    <row r="6" customFormat="false" ht="15" hidden="false" customHeight="false" outlineLevel="0" collapsed="false">
      <c r="A6" s="45" t="s">
        <v>125</v>
      </c>
      <c r="B6" s="59" t="s">
        <v>126</v>
      </c>
      <c r="C6" s="60" t="s">
        <v>127</v>
      </c>
    </row>
    <row r="7" customFormat="false" ht="15" hidden="false" customHeight="false" outlineLevel="0" collapsed="false">
      <c r="A7" s="45" t="s">
        <v>128</v>
      </c>
      <c r="B7" s="59" t="s">
        <v>129</v>
      </c>
      <c r="C7" s="60" t="s">
        <v>130</v>
      </c>
    </row>
    <row r="8" customFormat="false" ht="15" hidden="false" customHeight="false" outlineLevel="0" collapsed="false">
      <c r="A8" s="45" t="s">
        <v>131</v>
      </c>
      <c r="B8" s="59" t="s">
        <v>132</v>
      </c>
      <c r="C8" s="60" t="s">
        <v>133</v>
      </c>
    </row>
    <row r="9" customFormat="false" ht="15" hidden="false" customHeight="false" outlineLevel="0" collapsed="false">
      <c r="A9" s="45" t="s">
        <v>134</v>
      </c>
      <c r="B9" s="59" t="s">
        <v>135</v>
      </c>
      <c r="C9" s="60" t="s">
        <v>136</v>
      </c>
    </row>
    <row r="10" customFormat="false" ht="15" hidden="false" customHeight="false" outlineLevel="0" collapsed="false">
      <c r="A10" s="45" t="s">
        <v>137</v>
      </c>
      <c r="B10" s="59" t="s">
        <v>138</v>
      </c>
      <c r="C10" s="60" t="s">
        <v>139</v>
      </c>
    </row>
    <row r="11" customFormat="false" ht="15" hidden="false" customHeight="false" outlineLevel="0" collapsed="false">
      <c r="A11" s="45" t="s">
        <v>140</v>
      </c>
      <c r="B11" s="59" t="s">
        <v>141</v>
      </c>
      <c r="C11" s="60" t="s">
        <v>142</v>
      </c>
    </row>
    <row r="12" customFormat="false" ht="15" hidden="false" customHeight="false" outlineLevel="0" collapsed="false">
      <c r="A12" s="45" t="s">
        <v>143</v>
      </c>
      <c r="B12" s="59" t="s">
        <v>144</v>
      </c>
      <c r="C12" s="60" t="s">
        <v>145</v>
      </c>
    </row>
    <row r="13" customFormat="false" ht="15" hidden="false" customHeight="false" outlineLevel="0" collapsed="false">
      <c r="A13" s="45" t="s">
        <v>146</v>
      </c>
      <c r="B13" s="59" t="s">
        <v>147</v>
      </c>
      <c r="C13" s="60" t="s">
        <v>148</v>
      </c>
    </row>
    <row r="14" customFormat="false" ht="15" hidden="false" customHeight="false" outlineLevel="0" collapsed="false">
      <c r="A14" s="45"/>
      <c r="B14" s="59"/>
      <c r="C14" s="60"/>
    </row>
    <row r="15" customFormat="false" ht="15" hidden="false" customHeight="false" outlineLevel="0" collapsed="false">
      <c r="A15" s="45" t="s">
        <v>149</v>
      </c>
      <c r="B15" s="59"/>
      <c r="C15" s="60"/>
    </row>
    <row r="16" customFormat="false" ht="15" hidden="false" customHeight="false" outlineLevel="0" collapsed="false">
      <c r="A16" s="45" t="s">
        <v>150</v>
      </c>
      <c r="B16" s="59" t="s">
        <v>151</v>
      </c>
      <c r="C16" s="60" t="s">
        <v>152</v>
      </c>
    </row>
    <row r="17" customFormat="false" ht="15" hidden="false" customHeight="false" outlineLevel="0" collapsed="false">
      <c r="A17" s="45" t="s">
        <v>153</v>
      </c>
      <c r="B17" s="59" t="s">
        <v>154</v>
      </c>
      <c r="C17" s="60" t="s">
        <v>155</v>
      </c>
    </row>
    <row r="18" customFormat="false" ht="15" hidden="false" customHeight="false" outlineLevel="0" collapsed="false">
      <c r="A18" s="45" t="s">
        <v>156</v>
      </c>
      <c r="B18" s="59" t="s">
        <v>157</v>
      </c>
      <c r="C18" s="60" t="s">
        <v>158</v>
      </c>
    </row>
    <row r="19" customFormat="false" ht="15" hidden="false" customHeight="false" outlineLevel="0" collapsed="false">
      <c r="A19" s="45" t="s">
        <v>159</v>
      </c>
      <c r="B19" s="59" t="s">
        <v>160</v>
      </c>
      <c r="C19" s="60" t="s">
        <v>161</v>
      </c>
    </row>
    <row r="20" customFormat="false" ht="15" hidden="false" customHeight="false" outlineLevel="0" collapsed="false">
      <c r="A20" s="45" t="s">
        <v>162</v>
      </c>
      <c r="B20" s="59" t="s">
        <v>163</v>
      </c>
      <c r="C20" s="60" t="s">
        <v>164</v>
      </c>
    </row>
    <row r="21" customFormat="false" ht="15" hidden="false" customHeight="false" outlineLevel="0" collapsed="false">
      <c r="A21" s="45" t="s">
        <v>165</v>
      </c>
      <c r="B21" s="59" t="s">
        <v>166</v>
      </c>
      <c r="C21" s="60" t="s">
        <v>167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2026-03-17T00:32:28Z</dcterms:created>
  <dc:creator>openpyxl</dc:creator>
  <dc:description/>
  <dc:language>en-US</dc:language>
  <cp:lastModifiedBy/>
  <dcterms:modified xsi:type="dcterms:W3CDTF">2026-03-17T00:32:28Z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